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tudent1\Desktop\nikkhat\Excel Projects ⭐\"/>
    </mc:Choice>
  </mc:AlternateContent>
  <bookViews>
    <workbookView xWindow="0" yWindow="0" windowWidth="24000" windowHeight="8910" activeTab="1"/>
  </bookViews>
  <sheets>
    <sheet name="Sheet1" sheetId="2" r:id="rId1"/>
    <sheet name="student_marks" sheetId="1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L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3" i="1"/>
  <c r="G7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H4" i="1"/>
  <c r="H5" i="1"/>
  <c r="H6" i="1"/>
  <c r="H7" i="1"/>
  <c r="J7" i="1" s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</calcChain>
</file>

<file path=xl/sharedStrings.xml><?xml version="1.0" encoding="utf-8"?>
<sst xmlns="http://schemas.openxmlformats.org/spreadsheetml/2006/main" count="326" uniqueCount="226">
  <si>
    <t>Student ID</t>
  </si>
  <si>
    <t>Student Name</t>
  </si>
  <si>
    <t>Subject</t>
  </si>
  <si>
    <t>Math Marks</t>
  </si>
  <si>
    <t>Science Marks</t>
  </si>
  <si>
    <t>English Marks</t>
  </si>
  <si>
    <t>Total Marks</t>
  </si>
  <si>
    <t>STU001</t>
  </si>
  <si>
    <t>Aarav Sharma</t>
  </si>
  <si>
    <t>All Subjects</t>
  </si>
  <si>
    <t>STU002</t>
  </si>
  <si>
    <t>Ananya Verma</t>
  </si>
  <si>
    <t>STU003</t>
  </si>
  <si>
    <t>Vihaan Singh</t>
  </si>
  <si>
    <t>STU004</t>
  </si>
  <si>
    <t>Diya Gupta</t>
  </si>
  <si>
    <t>STU005</t>
  </si>
  <si>
    <t>Arjun Kumar</t>
  </si>
  <si>
    <t>STU006</t>
  </si>
  <si>
    <t>Myra Patel</t>
  </si>
  <si>
    <t>STU007</t>
  </si>
  <si>
    <t>Aditya Mishra</t>
  </si>
  <si>
    <t>STU008</t>
  </si>
  <si>
    <t>Ishita Agarwal</t>
  </si>
  <si>
    <t>STU009</t>
  </si>
  <si>
    <t>Kabir Yadav</t>
  </si>
  <si>
    <t>STU010</t>
  </si>
  <si>
    <t>Saanvi Joshi</t>
  </si>
  <si>
    <t>STU011</t>
  </si>
  <si>
    <t>Rohan Mehta</t>
  </si>
  <si>
    <t>STU012</t>
  </si>
  <si>
    <t>Anika Kapoor</t>
  </si>
  <si>
    <t>STU013</t>
  </si>
  <si>
    <t>Reyansh Saxena</t>
  </si>
  <si>
    <t>STU014</t>
  </si>
  <si>
    <t>Meera Choudhary</t>
  </si>
  <si>
    <t>STU015</t>
  </si>
  <si>
    <t>Ayaan Khan</t>
  </si>
  <si>
    <t>STU016</t>
  </si>
  <si>
    <t>Avni Bansal</t>
  </si>
  <si>
    <t>STU017</t>
  </si>
  <si>
    <t>Karan Malhotra</t>
  </si>
  <si>
    <t>STU018</t>
  </si>
  <si>
    <t>Riya Saini</t>
  </si>
  <si>
    <t>STU019</t>
  </si>
  <si>
    <t>Dev Raj</t>
  </si>
  <si>
    <t>STU020</t>
  </si>
  <si>
    <t>Kiara Nair</t>
  </si>
  <si>
    <t>STU021</t>
  </si>
  <si>
    <t>Yash Thakur</t>
  </si>
  <si>
    <t>STU022</t>
  </si>
  <si>
    <t>Tanya Arora</t>
  </si>
  <si>
    <t>STU023</t>
  </si>
  <si>
    <t>Harsh Vyas</t>
  </si>
  <si>
    <t>STU024</t>
  </si>
  <si>
    <t>Pari Srivastava</t>
  </si>
  <si>
    <t>STU025</t>
  </si>
  <si>
    <t>Manav Jain</t>
  </si>
  <si>
    <t>STU026</t>
  </si>
  <si>
    <t>Navya Tiwari</t>
  </si>
  <si>
    <t>STU027</t>
  </si>
  <si>
    <t>Krish Pandey</t>
  </si>
  <si>
    <t>STU028</t>
  </si>
  <si>
    <t>Aadhya Goyal</t>
  </si>
  <si>
    <t>STU029</t>
  </si>
  <si>
    <t>Samarth Dubey</t>
  </si>
  <si>
    <t>STU030</t>
  </si>
  <si>
    <t>Shanaya Reddy</t>
  </si>
  <si>
    <t>STU031</t>
  </si>
  <si>
    <t>Ayush Rawat</t>
  </si>
  <si>
    <t>STU032</t>
  </si>
  <si>
    <t>Anvi Bhardwaj</t>
  </si>
  <si>
    <t>STU033</t>
  </si>
  <si>
    <t>Rudra Chauhan</t>
  </si>
  <si>
    <t>STU034</t>
  </si>
  <si>
    <t>Simran Kaur</t>
  </si>
  <si>
    <t>STU035</t>
  </si>
  <si>
    <t>Dhruv Oberoi</t>
  </si>
  <si>
    <t>STU036</t>
  </si>
  <si>
    <t>Prisha Mittal</t>
  </si>
  <si>
    <t>STU037</t>
  </si>
  <si>
    <t>Abhinav Das</t>
  </si>
  <si>
    <t>STU038</t>
  </si>
  <si>
    <t>Navisha Roy</t>
  </si>
  <si>
    <t>STU039</t>
  </si>
  <si>
    <t>Vivaan Sethi</t>
  </si>
  <si>
    <t>STU040</t>
  </si>
  <si>
    <t>Aarohi Iyer</t>
  </si>
  <si>
    <t>STU041</t>
  </si>
  <si>
    <t>Mohit Sharma</t>
  </si>
  <si>
    <t>STU042</t>
  </si>
  <si>
    <t>Shreya Singh</t>
  </si>
  <si>
    <t>STU043</t>
  </si>
  <si>
    <t>Ansh Gupta</t>
  </si>
  <si>
    <t>STU044</t>
  </si>
  <si>
    <t>Kavya Menon</t>
  </si>
  <si>
    <t>STU045</t>
  </si>
  <si>
    <t>Rajveer Kapoor</t>
  </si>
  <si>
    <t>STU046</t>
  </si>
  <si>
    <t>Muskan Verma</t>
  </si>
  <si>
    <t>STU047</t>
  </si>
  <si>
    <t>Devansh Kumar</t>
  </si>
  <si>
    <t>STU048</t>
  </si>
  <si>
    <t>Pranavi Patel</t>
  </si>
  <si>
    <t>STU049</t>
  </si>
  <si>
    <t>Shivam Mishra</t>
  </si>
  <si>
    <t>STU050</t>
  </si>
  <si>
    <t>Ira Joshi</t>
  </si>
  <si>
    <t>STU051</t>
  </si>
  <si>
    <t>Varun Agarwal</t>
  </si>
  <si>
    <t>STU052</t>
  </si>
  <si>
    <t>Ahana Yadav</t>
  </si>
  <si>
    <t>STU053</t>
  </si>
  <si>
    <t>Lakshya Mehta</t>
  </si>
  <si>
    <t>STU054</t>
  </si>
  <si>
    <t>Anushka Jain</t>
  </si>
  <si>
    <t>STU055</t>
  </si>
  <si>
    <t>Om Bansal</t>
  </si>
  <si>
    <t>STU056</t>
  </si>
  <si>
    <t>Suhana Saxena</t>
  </si>
  <si>
    <t>STU057</t>
  </si>
  <si>
    <t>Arnav Malhotra</t>
  </si>
  <si>
    <t>STU058</t>
  </si>
  <si>
    <t>Anaya Saini</t>
  </si>
  <si>
    <t>STU059</t>
  </si>
  <si>
    <t>Parth Choudhary</t>
  </si>
  <si>
    <t>STU060</t>
  </si>
  <si>
    <t>Navya Nair</t>
  </si>
  <si>
    <t>STU061</t>
  </si>
  <si>
    <t>Raghav Thakur</t>
  </si>
  <si>
    <t>STU062</t>
  </si>
  <si>
    <t>Saisha Arora</t>
  </si>
  <si>
    <t>STU063</t>
  </si>
  <si>
    <t>Abhay Vyas</t>
  </si>
  <si>
    <t>STU064</t>
  </si>
  <si>
    <t>Mehak Srivastava</t>
  </si>
  <si>
    <t>STU065</t>
  </si>
  <si>
    <t>Advik Goyal</t>
  </si>
  <si>
    <t>STU066</t>
  </si>
  <si>
    <t>Shivani Tiwari</t>
  </si>
  <si>
    <t>STU067</t>
  </si>
  <si>
    <t>Kunal Pandey</t>
  </si>
  <si>
    <t>STU068</t>
  </si>
  <si>
    <t>Riddhi Dubey</t>
  </si>
  <si>
    <t>STU069</t>
  </si>
  <si>
    <t>Atharv Reddy</t>
  </si>
  <si>
    <t>STU070</t>
  </si>
  <si>
    <t>Mahi Rawat</t>
  </si>
  <si>
    <t>STU071</t>
  </si>
  <si>
    <t>Siddharth Bhardwaj</t>
  </si>
  <si>
    <t>STU072</t>
  </si>
  <si>
    <t>Ishani Chauhan</t>
  </si>
  <si>
    <t>STU073</t>
  </si>
  <si>
    <t>Manish Oberoi</t>
  </si>
  <si>
    <t>STU074</t>
  </si>
  <si>
    <t>Alisha Mittal</t>
  </si>
  <si>
    <t>STU075</t>
  </si>
  <si>
    <t>Akshay Das</t>
  </si>
  <si>
    <t>STU076</t>
  </si>
  <si>
    <t>Nandini Roy</t>
  </si>
  <si>
    <t>STU077</t>
  </si>
  <si>
    <t>Varun Sethi</t>
  </si>
  <si>
    <t>STU078</t>
  </si>
  <si>
    <t>Shivanya Iyer</t>
  </si>
  <si>
    <t>STU079</t>
  </si>
  <si>
    <t>Ritik Sharma</t>
  </si>
  <si>
    <t>STU080</t>
  </si>
  <si>
    <t>Pihu Singh</t>
  </si>
  <si>
    <t>STU081</t>
  </si>
  <si>
    <t>Sameer Gupta</t>
  </si>
  <si>
    <t>STU082</t>
  </si>
  <si>
    <t>Kiara Kapoor</t>
  </si>
  <si>
    <t>STU083</t>
  </si>
  <si>
    <t>Akshat Verma</t>
  </si>
  <si>
    <t>STU084</t>
  </si>
  <si>
    <t>Anushree Kumar</t>
  </si>
  <si>
    <t>STU085</t>
  </si>
  <si>
    <t>Harshit Patel</t>
  </si>
  <si>
    <t>STU086</t>
  </si>
  <si>
    <t>Diya Mishra</t>
  </si>
  <si>
    <t>STU087</t>
  </si>
  <si>
    <t>Pranav Joshi</t>
  </si>
  <si>
    <t>STU088</t>
  </si>
  <si>
    <t>Navika Agarwal</t>
  </si>
  <si>
    <t>STU089</t>
  </si>
  <si>
    <t>Ayansh Yadav</t>
  </si>
  <si>
    <t>STU090</t>
  </si>
  <si>
    <t>Shreya Mehta</t>
  </si>
  <si>
    <t>STU091</t>
  </si>
  <si>
    <t>Ronit Jain</t>
  </si>
  <si>
    <t>STU092</t>
  </si>
  <si>
    <t>Aaradhya Bansal</t>
  </si>
  <si>
    <t>STU093</t>
  </si>
  <si>
    <t>Veer Saxena</t>
  </si>
  <si>
    <t>STU094</t>
  </si>
  <si>
    <t>Palak Malhotra</t>
  </si>
  <si>
    <t>STU095</t>
  </si>
  <si>
    <t>Armaan Saini</t>
  </si>
  <si>
    <t>STU096</t>
  </si>
  <si>
    <t>Sakshi Choudhary</t>
  </si>
  <si>
    <t>STU097</t>
  </si>
  <si>
    <t>Krishna Nair</t>
  </si>
  <si>
    <t>STU098</t>
  </si>
  <si>
    <t>Anushka Reddy</t>
  </si>
  <si>
    <t>STU099</t>
  </si>
  <si>
    <t>Dev Kapoor</t>
  </si>
  <si>
    <t>STU100</t>
  </si>
  <si>
    <t>Siya Arora</t>
  </si>
  <si>
    <t>Percentage</t>
  </si>
  <si>
    <t>Average Marks</t>
  </si>
  <si>
    <t>Pass/Fail</t>
  </si>
  <si>
    <t>Rank</t>
  </si>
  <si>
    <t>Performance Level</t>
  </si>
  <si>
    <t>Strongest Subject</t>
  </si>
  <si>
    <t>Weakest Subject</t>
  </si>
  <si>
    <t>Marks Difference</t>
  </si>
  <si>
    <t>Row Labels</t>
  </si>
  <si>
    <t>Average</t>
  </si>
  <si>
    <t>Good</t>
  </si>
  <si>
    <t>Very Good</t>
  </si>
  <si>
    <t>Grand Total</t>
  </si>
  <si>
    <t>(All)</t>
  </si>
  <si>
    <t>Students</t>
  </si>
  <si>
    <t>Average of Percentage</t>
  </si>
  <si>
    <t>Average of Total Marks</t>
  </si>
  <si>
    <t>Student Academic Result Management &amp;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</si>
</sst>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5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[student_marks.xlsx]Sheet1!PivotTable1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IN"/>
              <a:t>Students by Performance Level</a:t>
            </a:r>
          </a:p>
        </c:rich>
      </c:tx>
      <c:layout>
        <c:manualLayout>
          <c:xMode val="edge"/>
          <c:yMode val="edge"/>
          <c:x val="0.52941652766262937"/>
          <c:y val="3.1162270635453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641807219711365E-2"/>
          <c:y val="0.21419960262119553"/>
          <c:w val="0.76764576497015213"/>
          <c:h val="0.6619932836982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Average</c:v>
                </c:pt>
                <c:pt idx="1">
                  <c:v>Good</c:v>
                </c:pt>
                <c:pt idx="2">
                  <c:v>Very Good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</c:v>
                </c:pt>
                <c:pt idx="1">
                  <c:v>32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8-43E0-87EE-0D7F9B63953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Average</c:v>
                </c:pt>
                <c:pt idx="1">
                  <c:v>Good</c:v>
                </c:pt>
                <c:pt idx="2">
                  <c:v>Very Good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59.611111111111107</c:v>
                </c:pt>
                <c:pt idx="1">
                  <c:v>73.854166666666643</c:v>
                </c:pt>
                <c:pt idx="2">
                  <c:v>88.123655913978524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28-43E0-87EE-0D7F9B63953D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Total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Average</c:v>
                </c:pt>
                <c:pt idx="1">
                  <c:v>Good</c:v>
                </c:pt>
                <c:pt idx="2">
                  <c:v>Very Good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3"/>
                <c:pt idx="0">
                  <c:v>178.83333333333334</c:v>
                </c:pt>
                <c:pt idx="1">
                  <c:v>221.5625</c:v>
                </c:pt>
                <c:pt idx="2">
                  <c:v>264.37096774193549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8-43E0-87EE-0D7F9B639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09806463"/>
        <c:axId val="1010518799"/>
      </c:barChart>
      <c:catAx>
        <c:axId val="90980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18799"/>
        <c:crosses val="autoZero"/>
        <c:auto val="1"/>
        <c:lblAlgn val="ctr"/>
        <c:lblOffset val="100"/>
        <c:noMultiLvlLbl val="0"/>
      </c:catAx>
      <c:valAx>
        <c:axId val="10105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064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40655877547698"/>
          <c:y val="0.43551545687373444"/>
          <c:w val="0.1579547659407784"/>
          <c:h val="0.19699128156807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271461</xdr:colOff>
      <xdr:row>1</xdr:row>
      <xdr:rowOff>180975</xdr:rowOff>
    </xdr:from>
    <xdr:to>
      <xdr:col>18</xdr:col>
      <xdr:colOff>561975</xdr:colOff>
      <xdr:row>24</xdr:row>
      <xdr:rowOff>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udent1" refreshedDate="46277.572964930558" createdVersion="6" refreshedVersion="6" minRefreshableVersion="3" recordCount="101">
  <cacheSource type="worksheet">
    <worksheetSource ref="A1:O1048576" sheet="student_marks"/>
  </cacheSource>
  <cacheFields count="15">
    <cacheField name="Student ID" numFmtId="0">
      <sharedItems containsBlank="1"/>
    </cacheField>
    <cacheField name="Student Name" numFmtId="0">
      <sharedItems containsBlank="1"/>
    </cacheField>
    <cacheField name="Subject" numFmtId="0">
      <sharedItems containsBlank="1"/>
    </cacheField>
    <cacheField name="Math Marks" numFmtId="0">
      <sharedItems containsString="0" containsBlank="1" containsNumber="1" containsInteger="1" minValue="13" maxValue="96"/>
    </cacheField>
    <cacheField name="Science Marks" numFmtId="0">
      <sharedItems containsString="0" containsBlank="1" containsNumber="1" containsInteger="1" minValue="24" maxValue="95"/>
    </cacheField>
    <cacheField name="English Marks" numFmtId="0">
      <sharedItems containsString="0" containsBlank="1" containsNumber="1" containsInteger="1" minValue="20" maxValue="96"/>
    </cacheField>
    <cacheField name="Total Marks" numFmtId="0">
      <sharedItems containsString="0" containsBlank="1" containsNumber="1" containsInteger="1" minValue="57" maxValue="283" count="59">
        <n v="245"/>
        <n v="271"/>
        <n v="211"/>
        <n v="252"/>
        <n v="57"/>
        <n v="277"/>
        <n v="205"/>
        <n v="262"/>
        <n v="216"/>
        <n v="272"/>
        <n v="224"/>
        <n v="261"/>
        <n v="253"/>
        <n v="213"/>
        <n v="275"/>
        <n v="249"/>
        <n v="255"/>
        <n v="258"/>
        <n v="204"/>
        <n v="225"/>
        <n v="263"/>
        <n v="241"/>
        <n v="278"/>
        <n v="214"/>
        <n v="281"/>
        <n v="222"/>
        <n v="268"/>
        <n v="237"/>
        <n v="274"/>
        <n v="201"/>
        <n v="217"/>
        <n v="279"/>
        <n v="233"/>
        <n v="264"/>
        <n v="220"/>
        <n v="276"/>
        <n v="244"/>
        <n v="269"/>
        <n v="202"/>
        <n v="283"/>
        <n v="266"/>
        <n v="229"/>
        <n v="265"/>
        <n v="215"/>
        <n v="282"/>
        <n v="259"/>
        <n v="232"/>
        <n v="246"/>
        <n v="267"/>
        <n v="231"/>
        <n v="210"/>
        <n v="242"/>
        <n v="223"/>
        <n v="270"/>
        <n v="218"/>
        <n v="239"/>
        <n v="243"/>
        <n v="280"/>
        <m/>
      </sharedItems>
    </cacheField>
    <cacheField name="Percentage" numFmtId="0">
      <sharedItems containsString="0" containsBlank="1" containsNumber="1" minValue="19" maxValue="94.333333333333343" count="59">
        <n v="81.666666666666671"/>
        <n v="90.333333333333329"/>
        <n v="70.333333333333343"/>
        <n v="84"/>
        <n v="19"/>
        <n v="92.333333333333329"/>
        <n v="68.333333333333329"/>
        <n v="87.333333333333329"/>
        <n v="72"/>
        <n v="90.666666666666657"/>
        <n v="74.666666666666671"/>
        <n v="87"/>
        <n v="84.333333333333343"/>
        <n v="71"/>
        <n v="91.666666666666657"/>
        <n v="83"/>
        <n v="85"/>
        <n v="86"/>
        <n v="68"/>
        <n v="75"/>
        <n v="87.666666666666671"/>
        <n v="80.333333333333329"/>
        <n v="92.666666666666657"/>
        <n v="71.333333333333343"/>
        <n v="93.666666666666671"/>
        <n v="74"/>
        <n v="89.333333333333329"/>
        <n v="79"/>
        <n v="91.333333333333329"/>
        <n v="67"/>
        <n v="72.333333333333343"/>
        <n v="93"/>
        <n v="77.666666666666657"/>
        <n v="88"/>
        <n v="73.333333333333329"/>
        <n v="92"/>
        <n v="81.333333333333329"/>
        <n v="89.666666666666657"/>
        <n v="67.333333333333329"/>
        <n v="94.333333333333343"/>
        <n v="88.666666666666671"/>
        <n v="76.333333333333329"/>
        <n v="88.333333333333329"/>
        <n v="71.666666666666671"/>
        <n v="94"/>
        <n v="86.333333333333329"/>
        <n v="77.333333333333329"/>
        <n v="82"/>
        <n v="89"/>
        <n v="77"/>
        <n v="70"/>
        <n v="80.666666666666657"/>
        <n v="74.333333333333329"/>
        <n v="90"/>
        <n v="72.666666666666671"/>
        <n v="79.666666666666657"/>
        <n v="81"/>
        <n v="93.333333333333329"/>
        <m/>
      </sharedItems>
    </cacheField>
    <cacheField name="Average Marks" numFmtId="0">
      <sharedItems containsString="0" containsBlank="1" containsNumber="1" minValue="19" maxValue="94.333333333333329"/>
    </cacheField>
    <cacheField name="Pass/Fail" numFmtId="0">
      <sharedItems containsBlank="1" count="3">
        <s v="pass"/>
        <s v="fail"/>
        <m/>
      </sharedItems>
    </cacheField>
    <cacheField name="Rank" numFmtId="0">
      <sharedItems containsString="0" containsBlank="1" containsNumber="1" containsInteger="1" minValue="1" maxValue="100"/>
    </cacheField>
    <cacheField name="Performance Level" numFmtId="0">
      <sharedItems containsBlank="1" count="4">
        <s v="Very Good"/>
        <s v="Good"/>
        <s v="Average"/>
        <m/>
      </sharedItems>
    </cacheField>
    <cacheField name="Strongest Subject" numFmtId="0">
      <sharedItems containsBlank="1"/>
    </cacheField>
    <cacheField name="Weakest Subject" numFmtId="0">
      <sharedItems containsBlank="1"/>
    </cacheField>
    <cacheField name="Marks Difference" numFmtId="0">
      <sharedItems containsString="0" containsBlank="1" containsNumber="1" containsInteger="1" minValue="3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s v="STU001"/>
    <s v="Aarav Sharma"/>
    <s v="All Subjects"/>
    <n v="78"/>
    <n v="85"/>
    <n v="82"/>
    <x v="0"/>
    <x v="0"/>
    <n v="81.666666666666671"/>
    <x v="0"/>
    <n v="55"/>
    <x v="0"/>
    <s v="Science"/>
    <s v="Math"/>
    <n v="7"/>
  </r>
  <r>
    <s v="STU002"/>
    <s v="Ananya Verma"/>
    <s v="All Subjects"/>
    <n v="92"/>
    <n v="88"/>
    <n v="91"/>
    <x v="1"/>
    <x v="1"/>
    <n v="90.333333333333329"/>
    <x v="0"/>
    <n v="21"/>
    <x v="0"/>
    <s v="Math"/>
    <s v="Science"/>
    <n v="4"/>
  </r>
  <r>
    <s v="STU003"/>
    <s v="Vihaan Singh"/>
    <s v="All Subjects"/>
    <n v="67"/>
    <n v="74"/>
    <n v="70"/>
    <x v="2"/>
    <x v="2"/>
    <n v="70.333333333333329"/>
    <x v="0"/>
    <n v="91"/>
    <x v="1"/>
    <s v="Science"/>
    <s v="Math"/>
    <n v="7"/>
  </r>
  <r>
    <s v="STU004"/>
    <s v="Diya Gupta"/>
    <s v="All Subjects"/>
    <n v="85"/>
    <n v="79"/>
    <n v="88"/>
    <x v="3"/>
    <x v="3"/>
    <n v="84"/>
    <x v="0"/>
    <n v="50"/>
    <x v="0"/>
    <s v="English"/>
    <s v="Science"/>
    <n v="9"/>
  </r>
  <r>
    <s v="STU005"/>
    <s v="Arjun Kumar"/>
    <s v="All Subjects"/>
    <n v="13"/>
    <n v="24"/>
    <n v="20"/>
    <x v="4"/>
    <x v="4"/>
    <n v="19"/>
    <x v="1"/>
    <n v="100"/>
    <x v="2"/>
    <s v="Science"/>
    <s v="Math"/>
    <n v="11"/>
  </r>
  <r>
    <s v="STU006"/>
    <s v="Myra Patel"/>
    <s v="All Subjects"/>
    <n v="95"/>
    <n v="93"/>
    <n v="89"/>
    <x v="5"/>
    <x v="5"/>
    <n v="92.333333333333329"/>
    <x v="0"/>
    <n v="9"/>
    <x v="0"/>
    <s v="Math"/>
    <s v="English"/>
    <n v="6"/>
  </r>
  <r>
    <s v="STU007"/>
    <s v="Aditya Mishra"/>
    <s v="All Subjects"/>
    <n v="64"/>
    <n v="69"/>
    <n v="72"/>
    <x v="6"/>
    <x v="6"/>
    <n v="68.333333333333329"/>
    <x v="0"/>
    <n v="95"/>
    <x v="2"/>
    <s v="English"/>
    <s v="Math"/>
    <n v="8"/>
  </r>
  <r>
    <s v="STU008"/>
    <s v="Ishita Agarwal"/>
    <s v="All Subjects"/>
    <n v="88"/>
    <n v="84"/>
    <n v="90"/>
    <x v="7"/>
    <x v="7"/>
    <n v="87.333333333333329"/>
    <x v="0"/>
    <n v="39"/>
    <x v="0"/>
    <s v="English"/>
    <s v="Science"/>
    <n v="6"/>
  </r>
  <r>
    <s v="STU009"/>
    <s v="Kabir Yadav"/>
    <s v="All Subjects"/>
    <n v="76"/>
    <n v="72"/>
    <n v="68"/>
    <x v="8"/>
    <x v="8"/>
    <n v="72"/>
    <x v="0"/>
    <n v="83"/>
    <x v="1"/>
    <s v="Math"/>
    <s v="English"/>
    <n v="8"/>
  </r>
  <r>
    <s v="STU010"/>
    <s v="Saanvi Joshi"/>
    <s v="All Subjects"/>
    <n v="91"/>
    <n v="87"/>
    <n v="94"/>
    <x v="9"/>
    <x v="9"/>
    <n v="90.666666666666671"/>
    <x v="0"/>
    <n v="18"/>
    <x v="0"/>
    <s v="English"/>
    <s v="Science"/>
    <n v="7"/>
  </r>
  <r>
    <s v="STU011"/>
    <s v="Rohan Mehta"/>
    <s v="All Subjects"/>
    <n v="82"/>
    <n v="78"/>
    <n v="85"/>
    <x v="0"/>
    <x v="0"/>
    <n v="81.666666666666671"/>
    <x v="0"/>
    <n v="55"/>
    <x v="0"/>
    <s v="English"/>
    <s v="Science"/>
    <n v="7"/>
  </r>
  <r>
    <s v="STU012"/>
    <s v="Anika Kapoor"/>
    <s v="All Subjects"/>
    <n v="69"/>
    <n v="75"/>
    <n v="80"/>
    <x v="10"/>
    <x v="10"/>
    <n v="74.666666666666671"/>
    <x v="0"/>
    <n v="74"/>
    <x v="1"/>
    <s v="English"/>
    <s v="Math"/>
    <n v="11"/>
  </r>
  <r>
    <s v="STU013"/>
    <s v="Reyansh Saxena"/>
    <s v="All Subjects"/>
    <n v="87"/>
    <n v="91"/>
    <n v="83"/>
    <x v="11"/>
    <x v="11"/>
    <n v="87"/>
    <x v="0"/>
    <n v="42"/>
    <x v="0"/>
    <s v="Science"/>
    <s v="English"/>
    <n v="8"/>
  </r>
  <r>
    <s v="STU014"/>
    <s v="Meera Choudhary"/>
    <s v="All Subjects"/>
    <n v="79"/>
    <n v="86"/>
    <n v="88"/>
    <x v="12"/>
    <x v="12"/>
    <n v="84.333333333333329"/>
    <x v="0"/>
    <n v="48"/>
    <x v="0"/>
    <s v="English"/>
    <s v="Math"/>
    <n v="9"/>
  </r>
  <r>
    <s v="STU015"/>
    <s v="Ayaan Khan"/>
    <s v="All Subjects"/>
    <n v="71"/>
    <n v="68"/>
    <n v="74"/>
    <x v="13"/>
    <x v="13"/>
    <n v="71"/>
    <x v="0"/>
    <n v="89"/>
    <x v="1"/>
    <s v="English"/>
    <s v="Science"/>
    <n v="6"/>
  </r>
  <r>
    <s v="STU016"/>
    <s v="Avni Bansal"/>
    <s v="All Subjects"/>
    <n v="94"/>
    <n v="89"/>
    <n v="92"/>
    <x v="14"/>
    <x v="14"/>
    <n v="91.666666666666671"/>
    <x v="0"/>
    <n v="13"/>
    <x v="0"/>
    <s v="Math"/>
    <s v="Science"/>
    <n v="5"/>
  </r>
  <r>
    <s v="STU017"/>
    <s v="Karan Malhotra"/>
    <s v="All Subjects"/>
    <n v="66"/>
    <n v="73"/>
    <n v="77"/>
    <x v="8"/>
    <x v="8"/>
    <n v="72"/>
    <x v="0"/>
    <n v="83"/>
    <x v="1"/>
    <s v="English"/>
    <s v="Math"/>
    <n v="11"/>
  </r>
  <r>
    <s v="STU018"/>
    <s v="Riya Saini"/>
    <s v="All Subjects"/>
    <n v="83"/>
    <n v="80"/>
    <n v="86"/>
    <x v="15"/>
    <x v="15"/>
    <n v="83"/>
    <x v="0"/>
    <n v="51"/>
    <x v="0"/>
    <s v="English"/>
    <s v="Science"/>
    <n v="6"/>
  </r>
  <r>
    <s v="STU019"/>
    <s v="Dev Raj"/>
    <s v="All Subjects"/>
    <n v="89"/>
    <n v="85"/>
    <n v="81"/>
    <x v="16"/>
    <x v="16"/>
    <n v="85"/>
    <x v="0"/>
    <n v="47"/>
    <x v="0"/>
    <s v="Math"/>
    <s v="English"/>
    <n v="8"/>
  </r>
  <r>
    <s v="STU020"/>
    <s v="Kiara Nair"/>
    <s v="All Subjects"/>
    <n v="77"/>
    <n v="92"/>
    <n v="89"/>
    <x v="17"/>
    <x v="17"/>
    <n v="86"/>
    <x v="0"/>
    <n v="46"/>
    <x v="0"/>
    <s v="Science"/>
    <s v="Math"/>
    <n v="15"/>
  </r>
  <r>
    <s v="STU021"/>
    <s v="Yash Thakur"/>
    <s v="All Subjects"/>
    <n v="68"/>
    <n v="71"/>
    <n v="65"/>
    <x v="18"/>
    <x v="18"/>
    <n v="68"/>
    <x v="0"/>
    <n v="96"/>
    <x v="2"/>
    <s v="Science"/>
    <s v="English"/>
    <n v="6"/>
  </r>
  <r>
    <s v="STU022"/>
    <s v="Tanya Arora"/>
    <s v="All Subjects"/>
    <n v="90"/>
    <n v="88"/>
    <n v="93"/>
    <x v="1"/>
    <x v="1"/>
    <n v="90.333333333333329"/>
    <x v="0"/>
    <n v="21"/>
    <x v="0"/>
    <s v="English"/>
    <s v="Science"/>
    <n v="5"/>
  </r>
  <r>
    <s v="STU023"/>
    <s v="Harsh Vyas"/>
    <s v="All Subjects"/>
    <n v="74"/>
    <n v="79"/>
    <n v="72"/>
    <x v="19"/>
    <x v="19"/>
    <n v="75"/>
    <x v="0"/>
    <n v="72"/>
    <x v="1"/>
    <s v="Science"/>
    <s v="English"/>
    <n v="7"/>
  </r>
  <r>
    <s v="STU024"/>
    <s v="Pari Srivastava"/>
    <s v="All Subjects"/>
    <n v="86"/>
    <n v="90"/>
    <n v="87"/>
    <x v="20"/>
    <x v="20"/>
    <n v="87.666666666666671"/>
    <x v="0"/>
    <n v="37"/>
    <x v="0"/>
    <s v="Science"/>
    <s v="Math"/>
    <n v="4"/>
  </r>
  <r>
    <s v="STU025"/>
    <s v="Manav Jain"/>
    <s v="All Subjects"/>
    <n v="81"/>
    <n v="76"/>
    <n v="84"/>
    <x v="21"/>
    <x v="21"/>
    <n v="80.333333333333329"/>
    <x v="0"/>
    <n v="61"/>
    <x v="0"/>
    <s v="English"/>
    <s v="Science"/>
    <n v="8"/>
  </r>
  <r>
    <s v="STU026"/>
    <s v="Navya Tiwari"/>
    <s v="All Subjects"/>
    <n v="93"/>
    <n v="95"/>
    <n v="90"/>
    <x v="22"/>
    <x v="22"/>
    <n v="92.666666666666671"/>
    <x v="0"/>
    <n v="7"/>
    <x v="0"/>
    <s v="Science"/>
    <s v="English"/>
    <n v="5"/>
  </r>
  <r>
    <s v="STU027"/>
    <s v="Krish Pandey"/>
    <s v="All Subjects"/>
    <n v="72"/>
    <n v="67"/>
    <n v="75"/>
    <x v="23"/>
    <x v="23"/>
    <n v="71.333333333333329"/>
    <x v="0"/>
    <n v="87"/>
    <x v="1"/>
    <s v="English"/>
    <s v="Science"/>
    <n v="8"/>
  </r>
  <r>
    <s v="STU028"/>
    <s v="Aadhya Goyal"/>
    <s v="All Subjects"/>
    <n v="88"/>
    <n v="82"/>
    <n v="91"/>
    <x v="11"/>
    <x v="11"/>
    <n v="87"/>
    <x v="0"/>
    <n v="42"/>
    <x v="0"/>
    <s v="English"/>
    <s v="Science"/>
    <n v="9"/>
  </r>
  <r>
    <s v="STU029"/>
    <s v="Samarth Dubey"/>
    <s v="All Subjects"/>
    <n v="65"/>
    <n v="77"/>
    <n v="69"/>
    <x v="2"/>
    <x v="2"/>
    <n v="70.333333333333329"/>
    <x v="0"/>
    <n v="91"/>
    <x v="1"/>
    <s v="Science"/>
    <s v="Math"/>
    <n v="12"/>
  </r>
  <r>
    <s v="STU030"/>
    <s v="Shanaya Reddy"/>
    <s v="All Subjects"/>
    <n v="96"/>
    <n v="91"/>
    <n v="94"/>
    <x v="24"/>
    <x v="24"/>
    <n v="93.666666666666671"/>
    <x v="0"/>
    <n v="3"/>
    <x v="0"/>
    <s v="Math"/>
    <s v="Science"/>
    <n v="5"/>
  </r>
  <r>
    <s v="STU031"/>
    <s v="Ayush Rawat"/>
    <s v="All Subjects"/>
    <n v="78"/>
    <n v="83"/>
    <n v="80"/>
    <x v="21"/>
    <x v="21"/>
    <n v="80.333333333333329"/>
    <x v="0"/>
    <n v="61"/>
    <x v="0"/>
    <s v="Science"/>
    <s v="Math"/>
    <n v="5"/>
  </r>
  <r>
    <s v="STU032"/>
    <s v="Anvi Bhardwaj"/>
    <s v="All Subjects"/>
    <n v="85"/>
    <n v="87"/>
    <n v="89"/>
    <x v="11"/>
    <x v="11"/>
    <n v="87"/>
    <x v="0"/>
    <n v="42"/>
    <x v="0"/>
    <s v="English"/>
    <s v="Math"/>
    <n v="4"/>
  </r>
  <r>
    <s v="STU033"/>
    <s v="Rudra Chauhan"/>
    <s v="All Subjects"/>
    <n v="70"/>
    <n v="74"/>
    <n v="78"/>
    <x v="25"/>
    <x v="25"/>
    <n v="74"/>
    <x v="0"/>
    <n v="77"/>
    <x v="1"/>
    <s v="English"/>
    <s v="Math"/>
    <n v="8"/>
  </r>
  <r>
    <s v="STU034"/>
    <s v="Simran Kaur"/>
    <s v="All Subjects"/>
    <n v="92"/>
    <n v="90"/>
    <n v="86"/>
    <x v="26"/>
    <x v="26"/>
    <n v="89.333333333333329"/>
    <x v="0"/>
    <n v="29"/>
    <x v="0"/>
    <s v="Math"/>
    <s v="English"/>
    <n v="6"/>
  </r>
  <r>
    <s v="STU035"/>
    <s v="Dhruv Oberoi"/>
    <s v="All Subjects"/>
    <n v="80"/>
    <n v="75"/>
    <n v="82"/>
    <x v="27"/>
    <x v="27"/>
    <n v="79"/>
    <x v="0"/>
    <n v="64"/>
    <x v="1"/>
    <s v="English"/>
    <s v="Science"/>
    <n v="7"/>
  </r>
  <r>
    <s v="STU036"/>
    <s v="Prisha Mittal"/>
    <s v="All Subjects"/>
    <n v="89"/>
    <n v="94"/>
    <n v="91"/>
    <x v="28"/>
    <x v="28"/>
    <n v="91.333333333333329"/>
    <x v="0"/>
    <n v="16"/>
    <x v="0"/>
    <s v="Science"/>
    <s v="Math"/>
    <n v="5"/>
  </r>
  <r>
    <s v="STU037"/>
    <s v="Abhinav Das"/>
    <s v="All Subjects"/>
    <n v="63"/>
    <n v="70"/>
    <n v="68"/>
    <x v="29"/>
    <x v="29"/>
    <n v="67"/>
    <x v="0"/>
    <n v="99"/>
    <x v="2"/>
    <s v="Science"/>
    <s v="Math"/>
    <n v="7"/>
  </r>
  <r>
    <s v="STU038"/>
    <s v="Navisha Roy"/>
    <s v="All Subjects"/>
    <n v="84"/>
    <n v="81"/>
    <n v="88"/>
    <x v="12"/>
    <x v="12"/>
    <n v="84.333333333333329"/>
    <x v="0"/>
    <n v="48"/>
    <x v="0"/>
    <s v="English"/>
    <s v="Science"/>
    <n v="7"/>
  </r>
  <r>
    <s v="STU039"/>
    <s v="Vivaan Sethi"/>
    <s v="All Subjects"/>
    <n v="75"/>
    <n v="69"/>
    <n v="73"/>
    <x v="30"/>
    <x v="30"/>
    <n v="72.333333333333329"/>
    <x v="0"/>
    <n v="82"/>
    <x v="1"/>
    <s v="Math"/>
    <s v="Science"/>
    <n v="6"/>
  </r>
  <r>
    <s v="STU040"/>
    <s v="Aarohi Iyer"/>
    <s v="All Subjects"/>
    <n v="91"/>
    <n v="93"/>
    <n v="95"/>
    <x v="31"/>
    <x v="31"/>
    <n v="93"/>
    <x v="0"/>
    <n v="5"/>
    <x v="0"/>
    <s v="English"/>
    <s v="Math"/>
    <n v="4"/>
  </r>
  <r>
    <s v="STU041"/>
    <s v="Mohit Sharma"/>
    <s v="All Subjects"/>
    <n v="77"/>
    <n v="80"/>
    <n v="76"/>
    <x v="32"/>
    <x v="32"/>
    <n v="77.666666666666671"/>
    <x v="0"/>
    <n v="65"/>
    <x v="1"/>
    <s v="Science"/>
    <s v="English"/>
    <n v="4"/>
  </r>
  <r>
    <s v="STU042"/>
    <s v="Shreya Singh"/>
    <s v="All Subjects"/>
    <n v="86"/>
    <n v="88"/>
    <n v="90"/>
    <x v="33"/>
    <x v="33"/>
    <n v="88"/>
    <x v="0"/>
    <n v="36"/>
    <x v="0"/>
    <s v="English"/>
    <s v="Math"/>
    <n v="4"/>
  </r>
  <r>
    <s v="STU043"/>
    <s v="Ansh Gupta"/>
    <s v="All Subjects"/>
    <n v="69"/>
    <n v="72"/>
    <n v="79"/>
    <x v="34"/>
    <x v="34"/>
    <n v="73.333333333333329"/>
    <x v="0"/>
    <n v="78"/>
    <x v="1"/>
    <s v="English"/>
    <s v="Math"/>
    <n v="10"/>
  </r>
  <r>
    <s v="STU044"/>
    <s v="Kavya Menon"/>
    <s v="All Subjects"/>
    <n v="94"/>
    <n v="90"/>
    <n v="92"/>
    <x v="35"/>
    <x v="35"/>
    <n v="92"/>
    <x v="0"/>
    <n v="11"/>
    <x v="0"/>
    <s v="Math"/>
    <s v="Science"/>
    <n v="4"/>
  </r>
  <r>
    <s v="STU045"/>
    <s v="Rajveer Kapoor"/>
    <s v="All Subjects"/>
    <n v="81"/>
    <n v="85"/>
    <n v="78"/>
    <x v="36"/>
    <x v="36"/>
    <n v="81.333333333333329"/>
    <x v="0"/>
    <n v="57"/>
    <x v="0"/>
    <s v="Science"/>
    <s v="English"/>
    <n v="7"/>
  </r>
  <r>
    <s v="STU046"/>
    <s v="Muskan Verma"/>
    <s v="All Subjects"/>
    <n v="88"/>
    <n v="91"/>
    <n v="84"/>
    <x v="20"/>
    <x v="20"/>
    <n v="87.666666666666671"/>
    <x v="0"/>
    <n v="37"/>
    <x v="0"/>
    <s v="Science"/>
    <s v="English"/>
    <n v="7"/>
  </r>
  <r>
    <s v="STU047"/>
    <s v="Devansh Kumar"/>
    <s v="All Subjects"/>
    <n v="73"/>
    <n v="76"/>
    <n v="71"/>
    <x v="34"/>
    <x v="34"/>
    <n v="73.333333333333329"/>
    <x v="0"/>
    <n v="78"/>
    <x v="1"/>
    <s v="Science"/>
    <s v="English"/>
    <n v="5"/>
  </r>
  <r>
    <s v="STU048"/>
    <s v="Pranavi Patel"/>
    <s v="All Subjects"/>
    <n v="90"/>
    <n v="86"/>
    <n v="93"/>
    <x v="37"/>
    <x v="37"/>
    <n v="89.666666666666671"/>
    <x v="0"/>
    <n v="27"/>
    <x v="0"/>
    <s v="English"/>
    <s v="Science"/>
    <n v="7"/>
  </r>
  <r>
    <s v="STU049"/>
    <s v="Shivam Mishra"/>
    <s v="All Subjects"/>
    <n v="67"/>
    <n v="65"/>
    <n v="70"/>
    <x v="38"/>
    <x v="38"/>
    <n v="67.333333333333329"/>
    <x v="0"/>
    <n v="98"/>
    <x v="2"/>
    <s v="English"/>
    <s v="Science"/>
    <n v="5"/>
  </r>
  <r>
    <s v="STU050"/>
    <s v="Ira Joshi"/>
    <s v="All Subjects"/>
    <n v="95"/>
    <n v="92"/>
    <n v="96"/>
    <x v="39"/>
    <x v="39"/>
    <n v="94.333333333333329"/>
    <x v="0"/>
    <n v="1"/>
    <x v="0"/>
    <s v="English"/>
    <s v="Science"/>
    <n v="4"/>
  </r>
  <r>
    <s v="STU051"/>
    <s v="Varun Agarwal"/>
    <s v="All Subjects"/>
    <n v="79"/>
    <n v="84"/>
    <n v="81"/>
    <x v="36"/>
    <x v="36"/>
    <n v="81.333333333333329"/>
    <x v="0"/>
    <n v="57"/>
    <x v="0"/>
    <s v="Science"/>
    <s v="Math"/>
    <n v="5"/>
  </r>
  <r>
    <s v="STU052"/>
    <s v="Ahana Yadav"/>
    <s v="All Subjects"/>
    <n v="87"/>
    <n v="89"/>
    <n v="90"/>
    <x v="40"/>
    <x v="40"/>
    <n v="88.666666666666671"/>
    <x v="0"/>
    <n v="33"/>
    <x v="0"/>
    <s v="English"/>
    <s v="Math"/>
    <n v="3"/>
  </r>
  <r>
    <s v="STU053"/>
    <s v="Lakshya Mehta"/>
    <s v="All Subjects"/>
    <n v="72"/>
    <n v="78"/>
    <n v="75"/>
    <x v="19"/>
    <x v="19"/>
    <n v="75"/>
    <x v="0"/>
    <n v="72"/>
    <x v="1"/>
    <s v="Science"/>
    <s v="Math"/>
    <n v="6"/>
  </r>
  <r>
    <s v="STU054"/>
    <s v="Anushka Jain"/>
    <s v="All Subjects"/>
    <n v="93"/>
    <n v="87"/>
    <n v="91"/>
    <x v="1"/>
    <x v="1"/>
    <n v="90.333333333333329"/>
    <x v="0"/>
    <n v="21"/>
    <x v="0"/>
    <s v="Math"/>
    <s v="Science"/>
    <n v="6"/>
  </r>
  <r>
    <s v="STU055"/>
    <s v="Om Bansal"/>
    <s v="All Subjects"/>
    <n v="76"/>
    <n v="73"/>
    <n v="80"/>
    <x v="41"/>
    <x v="41"/>
    <n v="76.333333333333329"/>
    <x v="0"/>
    <n v="70"/>
    <x v="1"/>
    <s v="English"/>
    <s v="Science"/>
    <n v="7"/>
  </r>
  <r>
    <s v="STU056"/>
    <s v="Suhana Saxena"/>
    <s v="All Subjects"/>
    <n v="85"/>
    <n v="92"/>
    <n v="88"/>
    <x v="42"/>
    <x v="42"/>
    <n v="88.333333333333329"/>
    <x v="0"/>
    <n v="35"/>
    <x v="0"/>
    <s v="Science"/>
    <s v="Math"/>
    <n v="7"/>
  </r>
  <r>
    <s v="STU057"/>
    <s v="Arnav Malhotra"/>
    <s v="All Subjects"/>
    <n v="68"/>
    <n v="71"/>
    <n v="76"/>
    <x v="43"/>
    <x v="43"/>
    <n v="71.666666666666671"/>
    <x v="0"/>
    <n v="85"/>
    <x v="1"/>
    <s v="English"/>
    <s v="Math"/>
    <n v="8"/>
  </r>
  <r>
    <s v="STU058"/>
    <s v="Anaya Saini"/>
    <s v="All Subjects"/>
    <n v="91"/>
    <n v="89"/>
    <n v="94"/>
    <x v="28"/>
    <x v="28"/>
    <n v="91.333333333333329"/>
    <x v="0"/>
    <n v="16"/>
    <x v="0"/>
    <s v="English"/>
    <s v="Science"/>
    <n v="5"/>
  </r>
  <r>
    <s v="STU059"/>
    <s v="Parth Choudhary"/>
    <s v="All Subjects"/>
    <n v="80"/>
    <n v="77"/>
    <n v="72"/>
    <x v="41"/>
    <x v="41"/>
    <n v="76.333333333333329"/>
    <x v="0"/>
    <n v="70"/>
    <x v="1"/>
    <s v="Math"/>
    <s v="English"/>
    <n v="8"/>
  </r>
  <r>
    <s v="STU060"/>
    <s v="Navya Nair"/>
    <s v="All Subjects"/>
    <n v="89"/>
    <n v="93"/>
    <n v="87"/>
    <x v="37"/>
    <x v="37"/>
    <n v="89.666666666666671"/>
    <x v="0"/>
    <n v="27"/>
    <x v="0"/>
    <s v="Science"/>
    <s v="English"/>
    <n v="6"/>
  </r>
  <r>
    <s v="STU061"/>
    <s v="Raghav Thakur"/>
    <s v="All Subjects"/>
    <n v="74"/>
    <n v="69"/>
    <n v="81"/>
    <x v="10"/>
    <x v="10"/>
    <n v="74.666666666666671"/>
    <x v="0"/>
    <n v="74"/>
    <x v="1"/>
    <s v="English"/>
    <s v="Science"/>
    <n v="12"/>
  </r>
  <r>
    <s v="STU062"/>
    <s v="Saisha Arora"/>
    <s v="All Subjects"/>
    <n v="96"/>
    <n v="94"/>
    <n v="92"/>
    <x v="44"/>
    <x v="44"/>
    <n v="94"/>
    <x v="0"/>
    <n v="2"/>
    <x v="0"/>
    <s v="Math"/>
    <s v="English"/>
    <n v="4"/>
  </r>
  <r>
    <s v="STU063"/>
    <s v="Abhay Vyas"/>
    <s v="All Subjects"/>
    <n v="65"/>
    <n v="72"/>
    <n v="67"/>
    <x v="18"/>
    <x v="18"/>
    <n v="68"/>
    <x v="0"/>
    <n v="96"/>
    <x v="2"/>
    <s v="Science"/>
    <s v="Math"/>
    <n v="7"/>
  </r>
  <r>
    <s v="STU064"/>
    <s v="Mehak Srivastava"/>
    <s v="All Subjects"/>
    <n v="83"/>
    <n v="86"/>
    <n v="90"/>
    <x v="45"/>
    <x v="45"/>
    <n v="86.333333333333329"/>
    <x v="0"/>
    <n v="45"/>
    <x v="0"/>
    <s v="English"/>
    <s v="Math"/>
    <n v="7"/>
  </r>
  <r>
    <s v="STU065"/>
    <s v="Advik Goyal"/>
    <s v="All Subjects"/>
    <n v="78"/>
    <n v="75"/>
    <n v="79"/>
    <x v="46"/>
    <x v="46"/>
    <n v="77.333333333333329"/>
    <x v="0"/>
    <n v="67"/>
    <x v="1"/>
    <s v="English"/>
    <s v="Science"/>
    <n v="4"/>
  </r>
  <r>
    <s v="STU066"/>
    <s v="Shivani Tiwari"/>
    <s v="All Subjects"/>
    <n v="92"/>
    <n v="91"/>
    <n v="88"/>
    <x v="1"/>
    <x v="1"/>
    <n v="90.333333333333329"/>
    <x v="0"/>
    <n v="21"/>
    <x v="0"/>
    <s v="Math"/>
    <s v="English"/>
    <n v="4"/>
  </r>
  <r>
    <s v="STU067"/>
    <s v="Kunal Pandey"/>
    <s v="All Subjects"/>
    <n v="71"/>
    <n v="68"/>
    <n v="74"/>
    <x v="13"/>
    <x v="13"/>
    <n v="71"/>
    <x v="0"/>
    <n v="89"/>
    <x v="1"/>
    <s v="English"/>
    <s v="Science"/>
    <n v="6"/>
  </r>
  <r>
    <s v="STU068"/>
    <s v="Riddhi Dubey"/>
    <s v="All Subjects"/>
    <n v="86"/>
    <n v="84"/>
    <n v="92"/>
    <x v="7"/>
    <x v="7"/>
    <n v="87.333333333333329"/>
    <x v="0"/>
    <n v="39"/>
    <x v="0"/>
    <s v="English"/>
    <s v="Science"/>
    <n v="8"/>
  </r>
  <r>
    <s v="STU069"/>
    <s v="Atharv Reddy"/>
    <s v="All Subjects"/>
    <n v="90"/>
    <n v="87"/>
    <n v="85"/>
    <x v="7"/>
    <x v="7"/>
    <n v="87.333333333333329"/>
    <x v="0"/>
    <n v="39"/>
    <x v="0"/>
    <s v="Math"/>
    <s v="English"/>
    <n v="5"/>
  </r>
  <r>
    <s v="STU070"/>
    <s v="Mahi Rawat"/>
    <s v="All Subjects"/>
    <n v="79"/>
    <n v="82"/>
    <n v="88"/>
    <x v="15"/>
    <x v="15"/>
    <n v="83"/>
    <x v="0"/>
    <n v="51"/>
    <x v="0"/>
    <s v="English"/>
    <s v="Math"/>
    <n v="9"/>
  </r>
  <r>
    <s v="STU071"/>
    <s v="Siddharth Bhardwaj"/>
    <s v="All Subjects"/>
    <n v="68"/>
    <n v="76"/>
    <n v="70"/>
    <x v="23"/>
    <x v="23"/>
    <n v="71.333333333333329"/>
    <x v="0"/>
    <n v="87"/>
    <x v="1"/>
    <s v="Science"/>
    <s v="Math"/>
    <n v="8"/>
  </r>
  <r>
    <s v="STU072"/>
    <s v="Ishani Chauhan"/>
    <s v="All Subjects"/>
    <n v="94"/>
    <n v="89"/>
    <n v="96"/>
    <x v="31"/>
    <x v="31"/>
    <n v="93"/>
    <x v="0"/>
    <n v="5"/>
    <x v="0"/>
    <s v="English"/>
    <s v="Science"/>
    <n v="7"/>
  </r>
  <r>
    <s v="STU073"/>
    <s v="Manish Oberoi"/>
    <s v="All Subjects"/>
    <n v="75"/>
    <n v="81"/>
    <n v="77"/>
    <x v="32"/>
    <x v="32"/>
    <n v="77.666666666666671"/>
    <x v="0"/>
    <n v="65"/>
    <x v="1"/>
    <s v="Science"/>
    <s v="Math"/>
    <n v="6"/>
  </r>
  <r>
    <s v="STU074"/>
    <s v="Alisha Mittal"/>
    <s v="All Subjects"/>
    <n v="88"/>
    <n v="93"/>
    <n v="90"/>
    <x v="1"/>
    <x v="1"/>
    <n v="90.333333333333329"/>
    <x v="0"/>
    <n v="21"/>
    <x v="0"/>
    <s v="Science"/>
    <s v="Math"/>
    <n v="5"/>
  </r>
  <r>
    <s v="STU075"/>
    <s v="Akshay Das"/>
    <s v="All Subjects"/>
    <n v="82"/>
    <n v="79"/>
    <n v="85"/>
    <x v="47"/>
    <x v="47"/>
    <n v="82"/>
    <x v="0"/>
    <n v="54"/>
    <x v="0"/>
    <s v="English"/>
    <s v="Science"/>
    <n v="6"/>
  </r>
  <r>
    <s v="STU076"/>
    <s v="Nandini Roy"/>
    <s v="All Subjects"/>
    <n v="91"/>
    <n v="95"/>
    <n v="89"/>
    <x v="14"/>
    <x v="14"/>
    <n v="91.666666666666671"/>
    <x v="0"/>
    <n v="13"/>
    <x v="0"/>
    <s v="Science"/>
    <s v="English"/>
    <n v="6"/>
  </r>
  <r>
    <s v="STU077"/>
    <s v="Varun Sethi"/>
    <s v="All Subjects"/>
    <n v="70"/>
    <n v="73"/>
    <n v="68"/>
    <x v="2"/>
    <x v="2"/>
    <n v="70.333333333333329"/>
    <x v="0"/>
    <n v="91"/>
    <x v="1"/>
    <s v="Science"/>
    <s v="English"/>
    <n v="5"/>
  </r>
  <r>
    <s v="STU078"/>
    <s v="Shivanya Iyer"/>
    <s v="All Subjects"/>
    <n v="85"/>
    <n v="88"/>
    <n v="94"/>
    <x v="48"/>
    <x v="48"/>
    <n v="89"/>
    <x v="0"/>
    <n v="30"/>
    <x v="0"/>
    <s v="English"/>
    <s v="Math"/>
    <n v="9"/>
  </r>
  <r>
    <s v="STU079"/>
    <s v="Ritik Sharma"/>
    <s v="All Subjects"/>
    <n v="77"/>
    <n v="74"/>
    <n v="80"/>
    <x v="49"/>
    <x v="49"/>
    <n v="77"/>
    <x v="0"/>
    <n v="69"/>
    <x v="1"/>
    <s v="English"/>
    <s v="Science"/>
    <n v="6"/>
  </r>
  <r>
    <s v="STU080"/>
    <s v="Pihu Singh"/>
    <s v="All Subjects"/>
    <n v="93"/>
    <n v="90"/>
    <n v="92"/>
    <x v="14"/>
    <x v="14"/>
    <n v="91.666666666666671"/>
    <x v="0"/>
    <n v="13"/>
    <x v="0"/>
    <s v="Math"/>
    <s v="Science"/>
    <n v="3"/>
  </r>
  <r>
    <s v="STU081"/>
    <s v="Sameer Gupta"/>
    <s v="All Subjects"/>
    <n v="66"/>
    <n v="69"/>
    <n v="75"/>
    <x v="50"/>
    <x v="50"/>
    <n v="70"/>
    <x v="0"/>
    <n v="94"/>
    <x v="1"/>
    <s v="English"/>
    <s v="Math"/>
    <n v="9"/>
  </r>
  <r>
    <s v="STU082"/>
    <s v="Kiara Kapoor"/>
    <s v="All Subjects"/>
    <n v="89"/>
    <n v="87"/>
    <n v="91"/>
    <x v="48"/>
    <x v="48"/>
    <n v="89"/>
    <x v="0"/>
    <n v="30"/>
    <x v="0"/>
    <s v="English"/>
    <s v="Science"/>
    <n v="4"/>
  </r>
  <r>
    <s v="STU083"/>
    <s v="Akshat Verma"/>
    <s v="All Subjects"/>
    <n v="81"/>
    <n v="83"/>
    <n v="78"/>
    <x v="51"/>
    <x v="51"/>
    <n v="80.666666666666671"/>
    <x v="0"/>
    <n v="60"/>
    <x v="0"/>
    <s v="Science"/>
    <s v="English"/>
    <n v="5"/>
  </r>
  <r>
    <s v="STU084"/>
    <s v="Anushree Kumar"/>
    <s v="All Subjects"/>
    <n v="95"/>
    <n v="92"/>
    <n v="90"/>
    <x v="5"/>
    <x v="5"/>
    <n v="92.333333333333329"/>
    <x v="0"/>
    <n v="9"/>
    <x v="0"/>
    <s v="Math"/>
    <s v="English"/>
    <n v="5"/>
  </r>
  <r>
    <s v="STU085"/>
    <s v="Harshit Patel"/>
    <s v="All Subjects"/>
    <n v="73"/>
    <n v="71"/>
    <n v="79"/>
    <x v="52"/>
    <x v="52"/>
    <n v="74.333333333333329"/>
    <x v="0"/>
    <n v="76"/>
    <x v="1"/>
    <s v="English"/>
    <s v="Science"/>
    <n v="8"/>
  </r>
  <r>
    <s v="STU086"/>
    <s v="Diya Mishra"/>
    <s v="All Subjects"/>
    <n v="87"/>
    <n v="90"/>
    <n v="93"/>
    <x v="53"/>
    <x v="53"/>
    <n v="90"/>
    <x v="0"/>
    <n v="26"/>
    <x v="0"/>
    <s v="English"/>
    <s v="Math"/>
    <n v="6"/>
  </r>
  <r>
    <s v="STU087"/>
    <s v="Pranav Joshi"/>
    <s v="All Subjects"/>
    <n v="76"/>
    <n v="82"/>
    <n v="74"/>
    <x v="46"/>
    <x v="46"/>
    <n v="77.333333333333329"/>
    <x v="0"/>
    <n v="67"/>
    <x v="1"/>
    <s v="Science"/>
    <s v="English"/>
    <n v="8"/>
  </r>
  <r>
    <s v="STU088"/>
    <s v="Navika Agarwal"/>
    <s v="All Subjects"/>
    <n v="90"/>
    <n v="94"/>
    <n v="88"/>
    <x v="9"/>
    <x v="9"/>
    <n v="90.666666666666671"/>
    <x v="0"/>
    <n v="18"/>
    <x v="0"/>
    <s v="Science"/>
    <s v="English"/>
    <n v="6"/>
  </r>
  <r>
    <s v="STU089"/>
    <s v="Ayansh Yadav"/>
    <s v="All Subjects"/>
    <n v="69"/>
    <n v="77"/>
    <n v="72"/>
    <x v="54"/>
    <x v="54"/>
    <n v="72.666666666666671"/>
    <x v="0"/>
    <n v="80"/>
    <x v="1"/>
    <s v="Science"/>
    <s v="Math"/>
    <n v="8"/>
  </r>
  <r>
    <s v="STU090"/>
    <s v="Shreya Mehta"/>
    <s v="All Subjects"/>
    <n v="92"/>
    <n v="89"/>
    <n v="95"/>
    <x v="35"/>
    <x v="35"/>
    <n v="92"/>
    <x v="0"/>
    <n v="11"/>
    <x v="0"/>
    <s v="English"/>
    <s v="Science"/>
    <n v="6"/>
  </r>
  <r>
    <s v="STU091"/>
    <s v="Ronit Jain"/>
    <s v="All Subjects"/>
    <n v="80"/>
    <n v="76"/>
    <n v="83"/>
    <x v="55"/>
    <x v="55"/>
    <n v="79.666666666666671"/>
    <x v="0"/>
    <n v="63"/>
    <x v="1"/>
    <s v="English"/>
    <s v="Science"/>
    <n v="7"/>
  </r>
  <r>
    <s v="STU092"/>
    <s v="Aaradhya Bansal"/>
    <s v="All Subjects"/>
    <n v="86"/>
    <n v="91"/>
    <n v="89"/>
    <x v="40"/>
    <x v="40"/>
    <n v="88.666666666666671"/>
    <x v="0"/>
    <n v="33"/>
    <x v="0"/>
    <s v="Science"/>
    <s v="Math"/>
    <n v="5"/>
  </r>
  <r>
    <s v="STU093"/>
    <s v="Veer Saxena"/>
    <s v="All Subjects"/>
    <n v="74"/>
    <n v="68"/>
    <n v="76"/>
    <x v="54"/>
    <x v="54"/>
    <n v="72.666666666666671"/>
    <x v="0"/>
    <n v="80"/>
    <x v="1"/>
    <s v="English"/>
    <s v="Science"/>
    <n v="8"/>
  </r>
  <r>
    <s v="STU094"/>
    <s v="Palak Malhotra"/>
    <s v="All Subjects"/>
    <n v="94"/>
    <n v="93"/>
    <n v="91"/>
    <x v="22"/>
    <x v="22"/>
    <n v="92.666666666666671"/>
    <x v="0"/>
    <n v="7"/>
    <x v="0"/>
    <s v="Math"/>
    <s v="English"/>
    <n v="3"/>
  </r>
  <r>
    <s v="STU095"/>
    <s v="Armaan Saini"/>
    <s v="All Subjects"/>
    <n v="78"/>
    <n v="85"/>
    <n v="80"/>
    <x v="56"/>
    <x v="56"/>
    <n v="81"/>
    <x v="0"/>
    <n v="59"/>
    <x v="0"/>
    <s v="Science"/>
    <s v="Math"/>
    <n v="7"/>
  </r>
  <r>
    <s v="STU096"/>
    <s v="Sakshi Choudhary"/>
    <s v="All Subjects"/>
    <n v="89"/>
    <n v="86"/>
    <n v="92"/>
    <x v="48"/>
    <x v="48"/>
    <n v="89"/>
    <x v="0"/>
    <n v="30"/>
    <x v="0"/>
    <s v="English"/>
    <s v="Science"/>
    <n v="6"/>
  </r>
  <r>
    <s v="STU097"/>
    <s v="Krishna Nair"/>
    <s v="All Subjects"/>
    <n v="71"/>
    <n v="75"/>
    <n v="69"/>
    <x v="43"/>
    <x v="43"/>
    <n v="71.666666666666671"/>
    <x v="0"/>
    <n v="85"/>
    <x v="1"/>
    <s v="Science"/>
    <s v="English"/>
    <n v="6"/>
  </r>
  <r>
    <s v="STU098"/>
    <s v="Anushka Reddy"/>
    <s v="All Subjects"/>
    <n v="96"/>
    <n v="90"/>
    <n v="94"/>
    <x v="57"/>
    <x v="57"/>
    <n v="93.333333333333329"/>
    <x v="0"/>
    <n v="4"/>
    <x v="0"/>
    <s v="Math"/>
    <s v="Science"/>
    <n v="6"/>
  </r>
  <r>
    <s v="STU099"/>
    <s v="Dev Kapoor"/>
    <s v="All Subjects"/>
    <n v="83"/>
    <n v="79"/>
    <n v="87"/>
    <x v="15"/>
    <x v="15"/>
    <n v="83"/>
    <x v="0"/>
    <n v="51"/>
    <x v="0"/>
    <s v="English"/>
    <s v="Science"/>
    <n v="8"/>
  </r>
  <r>
    <s v="STU100"/>
    <s v="Siya Arora"/>
    <s v="All Subjects"/>
    <n v="91"/>
    <n v="88"/>
    <n v="93"/>
    <x v="9"/>
    <x v="9"/>
    <n v="90.666666666666671"/>
    <x v="0"/>
    <n v="18"/>
    <x v="0"/>
    <s v="English"/>
    <s v="Science"/>
    <n v="5"/>
  </r>
  <r>
    <m/>
    <m/>
    <m/>
    <m/>
    <m/>
    <m/>
    <x v="58"/>
    <x v="58"/>
    <m/>
    <x v="2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7" firstHeaderRow="0" firstDataRow="1" firstDataCol="1" rowPageCount="1" colPageCount="1"/>
  <pivotFields count="15">
    <pivotField dataField="1" showAll="0"/>
    <pivotField showAll="0"/>
    <pivotField showAll="0"/>
    <pivotField showAll="0"/>
    <pivotField showAll="0"/>
    <pivotField showAll="0"/>
    <pivotField dataField="1" showAll="0">
      <items count="60">
        <item x="4"/>
        <item x="29"/>
        <item x="38"/>
        <item x="18"/>
        <item x="6"/>
        <item x="50"/>
        <item x="2"/>
        <item x="13"/>
        <item x="23"/>
        <item x="43"/>
        <item x="8"/>
        <item x="30"/>
        <item x="54"/>
        <item x="34"/>
        <item x="25"/>
        <item x="52"/>
        <item x="10"/>
        <item x="19"/>
        <item x="41"/>
        <item x="49"/>
        <item x="46"/>
        <item x="32"/>
        <item x="27"/>
        <item x="55"/>
        <item x="21"/>
        <item x="51"/>
        <item x="56"/>
        <item x="36"/>
        <item x="0"/>
        <item x="47"/>
        <item x="15"/>
        <item x="3"/>
        <item x="12"/>
        <item x="16"/>
        <item x="17"/>
        <item x="45"/>
        <item x="11"/>
        <item x="7"/>
        <item x="20"/>
        <item x="33"/>
        <item x="42"/>
        <item x="40"/>
        <item x="48"/>
        <item x="26"/>
        <item x="37"/>
        <item x="53"/>
        <item x="1"/>
        <item x="9"/>
        <item x="28"/>
        <item x="14"/>
        <item x="35"/>
        <item x="5"/>
        <item x="22"/>
        <item x="31"/>
        <item x="57"/>
        <item x="24"/>
        <item x="44"/>
        <item x="39"/>
        <item x="58"/>
        <item t="default"/>
      </items>
    </pivotField>
    <pivotField dataField="1" showAll="0">
      <items count="60">
        <item x="4"/>
        <item x="29"/>
        <item x="38"/>
        <item x="18"/>
        <item x="6"/>
        <item x="50"/>
        <item x="2"/>
        <item x="13"/>
        <item x="23"/>
        <item x="43"/>
        <item x="8"/>
        <item x="30"/>
        <item x="54"/>
        <item x="34"/>
        <item x="25"/>
        <item x="52"/>
        <item x="10"/>
        <item x="19"/>
        <item x="41"/>
        <item x="49"/>
        <item x="46"/>
        <item x="32"/>
        <item x="27"/>
        <item x="55"/>
        <item x="21"/>
        <item x="51"/>
        <item x="56"/>
        <item x="36"/>
        <item x="0"/>
        <item x="47"/>
        <item x="15"/>
        <item x="3"/>
        <item x="12"/>
        <item x="16"/>
        <item x="17"/>
        <item x="45"/>
        <item x="11"/>
        <item x="7"/>
        <item x="20"/>
        <item x="33"/>
        <item x="42"/>
        <item x="40"/>
        <item x="48"/>
        <item x="26"/>
        <item x="37"/>
        <item x="53"/>
        <item x="1"/>
        <item x="9"/>
        <item x="28"/>
        <item x="14"/>
        <item x="35"/>
        <item x="5"/>
        <item x="22"/>
        <item x="31"/>
        <item x="57"/>
        <item x="24"/>
        <item x="44"/>
        <item x="39"/>
        <item x="58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Students" fld="0" subtotal="count" baseField="11" baseItem="0"/>
    <dataField name="Average of Percentage" fld="7" subtotal="average" baseField="11" baseItem="0"/>
    <dataField name="Average of Total Marks" fld="6" subtotal="average" baseField="11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8" sqref="D18"/>
    </sheetView>
  </sheetViews>
  <sheetFormatPr defaultRowHeight="15" x14ac:dyDescent="0.25"/>
  <cols>
    <col min="1" max="1" width="13.140625" customWidth="1"/>
    <col min="2" max="2" width="8.85546875" customWidth="1"/>
    <col min="3" max="3" width="21.42578125" customWidth="1"/>
    <col min="4" max="4" width="21.7109375" customWidth="1"/>
  </cols>
  <sheetData>
    <row r="1" spans="1:4" x14ac:dyDescent="0.25">
      <c r="A1" s="5" t="s">
        <v>210</v>
      </c>
      <c r="B1" t="s">
        <v>221</v>
      </c>
    </row>
    <row r="3" spans="1:4" x14ac:dyDescent="0.25">
      <c r="A3" s="5" t="s">
        <v>216</v>
      </c>
      <c r="B3" t="s">
        <v>222</v>
      </c>
      <c r="C3" t="s">
        <v>223</v>
      </c>
      <c r="D3" t="s">
        <v>224</v>
      </c>
    </row>
    <row r="4" spans="1:4" x14ac:dyDescent="0.25">
      <c r="A4" s="6" t="s">
        <v>217</v>
      </c>
      <c r="B4" s="7">
        <v>6</v>
      </c>
      <c r="C4" s="7">
        <v>59.611111111111107</v>
      </c>
      <c r="D4" s="7">
        <v>178.83333333333334</v>
      </c>
    </row>
    <row r="5" spans="1:4" x14ac:dyDescent="0.25">
      <c r="A5" s="6" t="s">
        <v>218</v>
      </c>
      <c r="B5" s="7">
        <v>32</v>
      </c>
      <c r="C5" s="7">
        <v>73.854166666666643</v>
      </c>
      <c r="D5" s="7">
        <v>221.5625</v>
      </c>
    </row>
    <row r="6" spans="1:4" x14ac:dyDescent="0.25">
      <c r="A6" s="6" t="s">
        <v>219</v>
      </c>
      <c r="B6" s="7">
        <v>62</v>
      </c>
      <c r="C6" s="7">
        <v>88.123655913978524</v>
      </c>
      <c r="D6" s="7">
        <v>264.37096774193549</v>
      </c>
    </row>
    <row r="7" spans="1:4" x14ac:dyDescent="0.25">
      <c r="A7" s="6" t="s">
        <v>220</v>
      </c>
      <c r="B7" s="7">
        <v>100</v>
      </c>
      <c r="C7" s="7">
        <v>81.84666666666665</v>
      </c>
      <c r="D7" s="7">
        <v>245.54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selection activeCell="R11" sqref="R11"/>
    </sheetView>
  </sheetViews>
  <sheetFormatPr defaultRowHeight="15" x14ac:dyDescent="0.25"/>
  <cols>
    <col min="1" max="1" width="20.42578125" customWidth="1"/>
    <col min="2" max="2" width="18.7109375" customWidth="1"/>
    <col min="3" max="3" width="19.42578125" customWidth="1"/>
    <col min="4" max="4" width="17.28515625" customWidth="1"/>
    <col min="5" max="5" width="18.85546875" customWidth="1"/>
    <col min="6" max="6" width="18.28515625" customWidth="1"/>
    <col min="7" max="7" width="16" customWidth="1"/>
    <col min="8" max="8" width="20.42578125" customWidth="1"/>
    <col min="9" max="9" width="21.85546875" customWidth="1"/>
    <col min="10" max="10" width="16.5703125" customWidth="1"/>
    <col min="11" max="11" width="13.5703125" customWidth="1"/>
    <col min="12" max="12" width="22.42578125" customWidth="1"/>
    <col min="13" max="13" width="21.85546875" customWidth="1"/>
    <col min="14" max="14" width="20.7109375" customWidth="1"/>
    <col min="15" max="15" width="24.5703125" customWidth="1"/>
  </cols>
  <sheetData>
    <row r="1" spans="1:16" ht="28.5" x14ac:dyDescent="0.45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6" ht="18.7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208</v>
      </c>
      <c r="I2" s="1" t="s">
        <v>209</v>
      </c>
      <c r="J2" s="1" t="s">
        <v>210</v>
      </c>
      <c r="K2" s="1" t="s">
        <v>211</v>
      </c>
      <c r="L2" s="1" t="s">
        <v>212</v>
      </c>
      <c r="M2" s="1" t="s">
        <v>213</v>
      </c>
      <c r="N2" s="1" t="s">
        <v>214</v>
      </c>
      <c r="O2" s="2" t="s">
        <v>215</v>
      </c>
      <c r="P2" s="1"/>
    </row>
    <row r="3" spans="1:16" x14ac:dyDescent="0.25">
      <c r="A3" t="s">
        <v>7</v>
      </c>
      <c r="B3" t="s">
        <v>8</v>
      </c>
      <c r="C3" t="s">
        <v>9</v>
      </c>
      <c r="D3">
        <v>78</v>
      </c>
      <c r="E3">
        <v>85</v>
      </c>
      <c r="F3">
        <v>82</v>
      </c>
      <c r="G3">
        <v>245</v>
      </c>
      <c r="H3" s="3">
        <f>G3/300*100</f>
        <v>81.666666666666671</v>
      </c>
      <c r="I3" s="3">
        <f>AVERAGE(D3:F3)</f>
        <v>81.666666666666671</v>
      </c>
      <c r="J3" t="str">
        <f>IF(H3&gt;=35,"pass", "fail")</f>
        <v>pass</v>
      </c>
      <c r="K3">
        <f>RANK(H3,$H$3:$H$102)</f>
        <v>55</v>
      </c>
      <c r="L3" t="str">
        <f>IF(H3&gt;=80,"Very Good",IF(H3&gt;=70,"Good","Average"))</f>
        <v>Very Good</v>
      </c>
      <c r="M3" t="str">
        <f>IF(MAX(D3:F3)=D3,"Math",IF(MAX(D3:F3)=E3,"Science","English"))</f>
        <v>Science</v>
      </c>
      <c r="N3" t="str">
        <f>IF(MIN(D3:F3)=D3,"Math",IF(MIN(D3:F3)=E3,"Science","English"))</f>
        <v>Math</v>
      </c>
      <c r="O3" s="4">
        <f>MAX(D3:F3)-MIN(D3:F3)</f>
        <v>7</v>
      </c>
    </row>
    <row r="4" spans="1:16" x14ac:dyDescent="0.25">
      <c r="A4" t="s">
        <v>10</v>
      </c>
      <c r="B4" t="s">
        <v>11</v>
      </c>
      <c r="C4" t="s">
        <v>9</v>
      </c>
      <c r="D4">
        <v>92</v>
      </c>
      <c r="E4">
        <v>88</v>
      </c>
      <c r="F4">
        <v>91</v>
      </c>
      <c r="G4">
        <v>271</v>
      </c>
      <c r="H4" s="3">
        <f t="shared" ref="H4:H67" si="0">G4/300*100</f>
        <v>90.333333333333329</v>
      </c>
      <c r="I4" s="3">
        <f t="shared" ref="I4:I67" si="1">AVERAGE(D4:F4)</f>
        <v>90.333333333333329</v>
      </c>
      <c r="J4" t="str">
        <f t="shared" ref="J4:J67" si="2">IF(H4&gt;=35,"pass", "fail")</f>
        <v>pass</v>
      </c>
      <c r="K4">
        <f t="shared" ref="K4:K67" si="3">RANK(H4,$H$3:$H$102)</f>
        <v>21</v>
      </c>
      <c r="L4" t="str">
        <f t="shared" ref="L4:L67" si="4">IF(H4&gt;=80,"Very Good",IF(H4&gt;=70,"Good","Average"))</f>
        <v>Very Good</v>
      </c>
      <c r="M4" t="str">
        <f t="shared" ref="M4:M67" si="5">IF(MAX(D4:F4)=D4,"Math",IF(MAX(D4:F4)=E4,"Science","English"))</f>
        <v>Math</v>
      </c>
      <c r="N4" t="str">
        <f t="shared" ref="N4:N67" si="6">IF(MIN(D4:F4)=D4,"Math",IF(MIN(D4:F4)=E4,"Science","English"))</f>
        <v>Science</v>
      </c>
      <c r="O4" s="4">
        <f t="shared" ref="O4:O67" si="7">MAX(D4:F4)-MIN(D4:F4)</f>
        <v>4</v>
      </c>
    </row>
    <row r="5" spans="1:16" x14ac:dyDescent="0.25">
      <c r="A5" t="s">
        <v>12</v>
      </c>
      <c r="B5" t="s">
        <v>13</v>
      </c>
      <c r="C5" t="s">
        <v>9</v>
      </c>
      <c r="D5">
        <v>67</v>
      </c>
      <c r="E5">
        <v>74</v>
      </c>
      <c r="F5">
        <v>70</v>
      </c>
      <c r="G5">
        <v>211</v>
      </c>
      <c r="H5" s="3">
        <f t="shared" si="0"/>
        <v>70.333333333333343</v>
      </c>
      <c r="I5" s="3">
        <f t="shared" si="1"/>
        <v>70.333333333333329</v>
      </c>
      <c r="J5" t="str">
        <f t="shared" si="2"/>
        <v>pass</v>
      </c>
      <c r="K5">
        <f t="shared" si="3"/>
        <v>91</v>
      </c>
      <c r="L5" t="str">
        <f t="shared" si="4"/>
        <v>Good</v>
      </c>
      <c r="M5" t="str">
        <f t="shared" si="5"/>
        <v>Science</v>
      </c>
      <c r="N5" t="str">
        <f t="shared" si="6"/>
        <v>Math</v>
      </c>
      <c r="O5" s="4">
        <f t="shared" si="7"/>
        <v>7</v>
      </c>
    </row>
    <row r="6" spans="1:16" x14ac:dyDescent="0.25">
      <c r="A6" t="s">
        <v>14</v>
      </c>
      <c r="B6" t="s">
        <v>15</v>
      </c>
      <c r="C6" t="s">
        <v>9</v>
      </c>
      <c r="D6">
        <v>85</v>
      </c>
      <c r="E6">
        <v>79</v>
      </c>
      <c r="F6">
        <v>88</v>
      </c>
      <c r="G6">
        <v>252</v>
      </c>
      <c r="H6" s="3">
        <f t="shared" si="0"/>
        <v>84</v>
      </c>
      <c r="I6" s="3">
        <f t="shared" si="1"/>
        <v>84</v>
      </c>
      <c r="J6" t="str">
        <f t="shared" si="2"/>
        <v>pass</v>
      </c>
      <c r="K6">
        <f t="shared" si="3"/>
        <v>50</v>
      </c>
      <c r="L6" t="str">
        <f t="shared" si="4"/>
        <v>Very Good</v>
      </c>
      <c r="M6" t="str">
        <f t="shared" si="5"/>
        <v>English</v>
      </c>
      <c r="N6" t="str">
        <f t="shared" si="6"/>
        <v>Science</v>
      </c>
      <c r="O6" s="4">
        <f t="shared" si="7"/>
        <v>9</v>
      </c>
    </row>
    <row r="7" spans="1:16" x14ac:dyDescent="0.25">
      <c r="A7" t="s">
        <v>16</v>
      </c>
      <c r="B7" t="s">
        <v>17</v>
      </c>
      <c r="C7" t="s">
        <v>9</v>
      </c>
      <c r="D7">
        <v>13</v>
      </c>
      <c r="E7">
        <v>24</v>
      </c>
      <c r="F7">
        <v>20</v>
      </c>
      <c r="G7">
        <f>SUM(D7:F7)</f>
        <v>57</v>
      </c>
      <c r="H7" s="3">
        <f t="shared" si="0"/>
        <v>19</v>
      </c>
      <c r="I7" s="3">
        <f t="shared" si="1"/>
        <v>19</v>
      </c>
      <c r="J7" t="str">
        <f t="shared" si="2"/>
        <v>fail</v>
      </c>
      <c r="K7">
        <f t="shared" si="3"/>
        <v>100</v>
      </c>
      <c r="L7" t="str">
        <f t="shared" si="4"/>
        <v>Average</v>
      </c>
      <c r="M7" t="str">
        <f t="shared" si="5"/>
        <v>Science</v>
      </c>
      <c r="N7" t="str">
        <f t="shared" si="6"/>
        <v>Math</v>
      </c>
      <c r="O7" s="4">
        <f t="shared" si="7"/>
        <v>11</v>
      </c>
    </row>
    <row r="8" spans="1:16" x14ac:dyDescent="0.25">
      <c r="A8" t="s">
        <v>18</v>
      </c>
      <c r="B8" t="s">
        <v>19</v>
      </c>
      <c r="C8" t="s">
        <v>9</v>
      </c>
      <c r="D8">
        <v>95</v>
      </c>
      <c r="E8">
        <v>93</v>
      </c>
      <c r="F8">
        <v>89</v>
      </c>
      <c r="G8">
        <v>277</v>
      </c>
      <c r="H8" s="3">
        <f t="shared" si="0"/>
        <v>92.333333333333329</v>
      </c>
      <c r="I8" s="3">
        <f t="shared" si="1"/>
        <v>92.333333333333329</v>
      </c>
      <c r="J8" t="str">
        <f t="shared" si="2"/>
        <v>pass</v>
      </c>
      <c r="K8">
        <f t="shared" si="3"/>
        <v>9</v>
      </c>
      <c r="L8" t="str">
        <f t="shared" si="4"/>
        <v>Very Good</v>
      </c>
      <c r="M8" t="str">
        <f t="shared" si="5"/>
        <v>Math</v>
      </c>
      <c r="N8" t="str">
        <f t="shared" si="6"/>
        <v>English</v>
      </c>
      <c r="O8" s="4">
        <f t="shared" si="7"/>
        <v>6</v>
      </c>
    </row>
    <row r="9" spans="1:16" x14ac:dyDescent="0.25">
      <c r="A9" t="s">
        <v>20</v>
      </c>
      <c r="B9" t="s">
        <v>21</v>
      </c>
      <c r="C9" t="s">
        <v>9</v>
      </c>
      <c r="D9">
        <v>64</v>
      </c>
      <c r="E9">
        <v>69</v>
      </c>
      <c r="F9">
        <v>72</v>
      </c>
      <c r="G9">
        <v>205</v>
      </c>
      <c r="H9" s="3">
        <f t="shared" si="0"/>
        <v>68.333333333333329</v>
      </c>
      <c r="I9" s="3">
        <f t="shared" si="1"/>
        <v>68.333333333333329</v>
      </c>
      <c r="J9" t="str">
        <f t="shared" si="2"/>
        <v>pass</v>
      </c>
      <c r="K9">
        <f t="shared" si="3"/>
        <v>95</v>
      </c>
      <c r="L9" t="str">
        <f t="shared" si="4"/>
        <v>Average</v>
      </c>
      <c r="M9" t="str">
        <f t="shared" si="5"/>
        <v>English</v>
      </c>
      <c r="N9" t="str">
        <f t="shared" si="6"/>
        <v>Math</v>
      </c>
      <c r="O9" s="4">
        <f t="shared" si="7"/>
        <v>8</v>
      </c>
    </row>
    <row r="10" spans="1:16" x14ac:dyDescent="0.25">
      <c r="A10" t="s">
        <v>22</v>
      </c>
      <c r="B10" t="s">
        <v>23</v>
      </c>
      <c r="C10" t="s">
        <v>9</v>
      </c>
      <c r="D10">
        <v>88</v>
      </c>
      <c r="E10">
        <v>84</v>
      </c>
      <c r="F10">
        <v>90</v>
      </c>
      <c r="G10">
        <v>262</v>
      </c>
      <c r="H10" s="3">
        <f t="shared" si="0"/>
        <v>87.333333333333329</v>
      </c>
      <c r="I10" s="3">
        <f t="shared" si="1"/>
        <v>87.333333333333329</v>
      </c>
      <c r="J10" t="str">
        <f t="shared" si="2"/>
        <v>pass</v>
      </c>
      <c r="K10">
        <f t="shared" si="3"/>
        <v>39</v>
      </c>
      <c r="L10" t="str">
        <f t="shared" si="4"/>
        <v>Very Good</v>
      </c>
      <c r="M10" t="str">
        <f t="shared" si="5"/>
        <v>English</v>
      </c>
      <c r="N10" t="str">
        <f t="shared" si="6"/>
        <v>Science</v>
      </c>
      <c r="O10" s="4">
        <f t="shared" si="7"/>
        <v>6</v>
      </c>
    </row>
    <row r="11" spans="1:16" x14ac:dyDescent="0.25">
      <c r="A11" t="s">
        <v>24</v>
      </c>
      <c r="B11" t="s">
        <v>25</v>
      </c>
      <c r="C11" t="s">
        <v>9</v>
      </c>
      <c r="D11">
        <v>76</v>
      </c>
      <c r="E11">
        <v>72</v>
      </c>
      <c r="F11">
        <v>68</v>
      </c>
      <c r="G11">
        <v>216</v>
      </c>
      <c r="H11" s="3">
        <f t="shared" si="0"/>
        <v>72</v>
      </c>
      <c r="I11" s="3">
        <f t="shared" si="1"/>
        <v>72</v>
      </c>
      <c r="J11" t="str">
        <f t="shared" si="2"/>
        <v>pass</v>
      </c>
      <c r="K11">
        <f t="shared" si="3"/>
        <v>83</v>
      </c>
      <c r="L11" t="str">
        <f t="shared" si="4"/>
        <v>Good</v>
      </c>
      <c r="M11" t="str">
        <f t="shared" si="5"/>
        <v>Math</v>
      </c>
      <c r="N11" t="str">
        <f t="shared" si="6"/>
        <v>English</v>
      </c>
      <c r="O11" s="4">
        <f t="shared" si="7"/>
        <v>8</v>
      </c>
    </row>
    <row r="12" spans="1:16" x14ac:dyDescent="0.25">
      <c r="A12" t="s">
        <v>26</v>
      </c>
      <c r="B12" t="s">
        <v>27</v>
      </c>
      <c r="C12" t="s">
        <v>9</v>
      </c>
      <c r="D12">
        <v>91</v>
      </c>
      <c r="E12">
        <v>87</v>
      </c>
      <c r="F12">
        <v>94</v>
      </c>
      <c r="G12">
        <v>272</v>
      </c>
      <c r="H12" s="3">
        <f t="shared" si="0"/>
        <v>90.666666666666657</v>
      </c>
      <c r="I12" s="3">
        <f t="shared" si="1"/>
        <v>90.666666666666671</v>
      </c>
      <c r="J12" t="str">
        <f t="shared" si="2"/>
        <v>pass</v>
      </c>
      <c r="K12">
        <f t="shared" si="3"/>
        <v>18</v>
      </c>
      <c r="L12" t="str">
        <f t="shared" si="4"/>
        <v>Very Good</v>
      </c>
      <c r="M12" t="str">
        <f t="shared" si="5"/>
        <v>English</v>
      </c>
      <c r="N12" t="str">
        <f t="shared" si="6"/>
        <v>Science</v>
      </c>
      <c r="O12" s="4">
        <f t="shared" si="7"/>
        <v>7</v>
      </c>
    </row>
    <row r="13" spans="1:16" x14ac:dyDescent="0.25">
      <c r="A13" t="s">
        <v>28</v>
      </c>
      <c r="B13" t="s">
        <v>29</v>
      </c>
      <c r="C13" t="s">
        <v>9</v>
      </c>
      <c r="D13">
        <v>82</v>
      </c>
      <c r="E13">
        <v>78</v>
      </c>
      <c r="F13">
        <v>85</v>
      </c>
      <c r="G13">
        <v>245</v>
      </c>
      <c r="H13" s="3">
        <f t="shared" si="0"/>
        <v>81.666666666666671</v>
      </c>
      <c r="I13" s="3">
        <f t="shared" si="1"/>
        <v>81.666666666666671</v>
      </c>
      <c r="J13" t="str">
        <f t="shared" si="2"/>
        <v>pass</v>
      </c>
      <c r="K13">
        <f t="shared" si="3"/>
        <v>55</v>
      </c>
      <c r="L13" t="str">
        <f t="shared" si="4"/>
        <v>Very Good</v>
      </c>
      <c r="M13" t="str">
        <f t="shared" si="5"/>
        <v>English</v>
      </c>
      <c r="N13" t="str">
        <f t="shared" si="6"/>
        <v>Science</v>
      </c>
      <c r="O13" s="4">
        <f t="shared" si="7"/>
        <v>7</v>
      </c>
    </row>
    <row r="14" spans="1:16" x14ac:dyDescent="0.25">
      <c r="A14" t="s">
        <v>30</v>
      </c>
      <c r="B14" t="s">
        <v>31</v>
      </c>
      <c r="C14" t="s">
        <v>9</v>
      </c>
      <c r="D14">
        <v>69</v>
      </c>
      <c r="E14">
        <v>75</v>
      </c>
      <c r="F14">
        <v>80</v>
      </c>
      <c r="G14">
        <v>224</v>
      </c>
      <c r="H14" s="3">
        <f t="shared" si="0"/>
        <v>74.666666666666671</v>
      </c>
      <c r="I14" s="3">
        <f t="shared" si="1"/>
        <v>74.666666666666671</v>
      </c>
      <c r="J14" t="str">
        <f t="shared" si="2"/>
        <v>pass</v>
      </c>
      <c r="K14">
        <f t="shared" si="3"/>
        <v>74</v>
      </c>
      <c r="L14" t="str">
        <f t="shared" si="4"/>
        <v>Good</v>
      </c>
      <c r="M14" t="str">
        <f t="shared" si="5"/>
        <v>English</v>
      </c>
      <c r="N14" t="str">
        <f t="shared" si="6"/>
        <v>Math</v>
      </c>
      <c r="O14" s="4">
        <f t="shared" si="7"/>
        <v>11</v>
      </c>
    </row>
    <row r="15" spans="1:16" x14ac:dyDescent="0.25">
      <c r="A15" t="s">
        <v>32</v>
      </c>
      <c r="B15" t="s">
        <v>33</v>
      </c>
      <c r="C15" t="s">
        <v>9</v>
      </c>
      <c r="D15">
        <v>87</v>
      </c>
      <c r="E15">
        <v>91</v>
      </c>
      <c r="F15">
        <v>83</v>
      </c>
      <c r="G15">
        <v>261</v>
      </c>
      <c r="H15" s="3">
        <f t="shared" si="0"/>
        <v>87</v>
      </c>
      <c r="I15" s="3">
        <f t="shared" si="1"/>
        <v>87</v>
      </c>
      <c r="J15" t="str">
        <f t="shared" si="2"/>
        <v>pass</v>
      </c>
      <c r="K15">
        <f t="shared" si="3"/>
        <v>42</v>
      </c>
      <c r="L15" t="str">
        <f t="shared" si="4"/>
        <v>Very Good</v>
      </c>
      <c r="M15" t="str">
        <f t="shared" si="5"/>
        <v>Science</v>
      </c>
      <c r="N15" t="str">
        <f t="shared" si="6"/>
        <v>English</v>
      </c>
      <c r="O15" s="4">
        <f t="shared" si="7"/>
        <v>8</v>
      </c>
    </row>
    <row r="16" spans="1:16" x14ac:dyDescent="0.25">
      <c r="A16" t="s">
        <v>34</v>
      </c>
      <c r="B16" t="s">
        <v>35</v>
      </c>
      <c r="C16" t="s">
        <v>9</v>
      </c>
      <c r="D16">
        <v>79</v>
      </c>
      <c r="E16">
        <v>86</v>
      </c>
      <c r="F16">
        <v>88</v>
      </c>
      <c r="G16">
        <v>253</v>
      </c>
      <c r="H16" s="3">
        <f t="shared" si="0"/>
        <v>84.333333333333343</v>
      </c>
      <c r="I16" s="3">
        <f t="shared" si="1"/>
        <v>84.333333333333329</v>
      </c>
      <c r="J16" t="str">
        <f t="shared" si="2"/>
        <v>pass</v>
      </c>
      <c r="K16">
        <f t="shared" si="3"/>
        <v>48</v>
      </c>
      <c r="L16" t="str">
        <f t="shared" si="4"/>
        <v>Very Good</v>
      </c>
      <c r="M16" t="str">
        <f t="shared" si="5"/>
        <v>English</v>
      </c>
      <c r="N16" t="str">
        <f t="shared" si="6"/>
        <v>Math</v>
      </c>
      <c r="O16" s="4">
        <f t="shared" si="7"/>
        <v>9</v>
      </c>
    </row>
    <row r="17" spans="1:15" x14ac:dyDescent="0.25">
      <c r="A17" t="s">
        <v>36</v>
      </c>
      <c r="B17" t="s">
        <v>37</v>
      </c>
      <c r="C17" t="s">
        <v>9</v>
      </c>
      <c r="D17">
        <v>71</v>
      </c>
      <c r="E17">
        <v>68</v>
      </c>
      <c r="F17">
        <v>74</v>
      </c>
      <c r="G17">
        <v>213</v>
      </c>
      <c r="H17" s="3">
        <f t="shared" si="0"/>
        <v>71</v>
      </c>
      <c r="I17" s="3">
        <f t="shared" si="1"/>
        <v>71</v>
      </c>
      <c r="J17" t="str">
        <f t="shared" si="2"/>
        <v>pass</v>
      </c>
      <c r="K17">
        <f t="shared" si="3"/>
        <v>89</v>
      </c>
      <c r="L17" t="str">
        <f t="shared" si="4"/>
        <v>Good</v>
      </c>
      <c r="M17" t="str">
        <f t="shared" si="5"/>
        <v>English</v>
      </c>
      <c r="N17" t="str">
        <f t="shared" si="6"/>
        <v>Science</v>
      </c>
      <c r="O17" s="4">
        <f t="shared" si="7"/>
        <v>6</v>
      </c>
    </row>
    <row r="18" spans="1:15" x14ac:dyDescent="0.25">
      <c r="A18" t="s">
        <v>38</v>
      </c>
      <c r="B18" t="s">
        <v>39</v>
      </c>
      <c r="C18" t="s">
        <v>9</v>
      </c>
      <c r="D18">
        <v>94</v>
      </c>
      <c r="E18">
        <v>89</v>
      </c>
      <c r="F18">
        <v>92</v>
      </c>
      <c r="G18">
        <v>275</v>
      </c>
      <c r="H18" s="3">
        <f t="shared" si="0"/>
        <v>91.666666666666657</v>
      </c>
      <c r="I18" s="3">
        <f t="shared" si="1"/>
        <v>91.666666666666671</v>
      </c>
      <c r="J18" t="str">
        <f t="shared" si="2"/>
        <v>pass</v>
      </c>
      <c r="K18">
        <f t="shared" si="3"/>
        <v>13</v>
      </c>
      <c r="L18" t="str">
        <f t="shared" si="4"/>
        <v>Very Good</v>
      </c>
      <c r="M18" t="str">
        <f t="shared" si="5"/>
        <v>Math</v>
      </c>
      <c r="N18" t="str">
        <f t="shared" si="6"/>
        <v>Science</v>
      </c>
      <c r="O18" s="4">
        <f t="shared" si="7"/>
        <v>5</v>
      </c>
    </row>
    <row r="19" spans="1:15" x14ac:dyDescent="0.25">
      <c r="A19" t="s">
        <v>40</v>
      </c>
      <c r="B19" t="s">
        <v>41</v>
      </c>
      <c r="C19" t="s">
        <v>9</v>
      </c>
      <c r="D19">
        <v>66</v>
      </c>
      <c r="E19">
        <v>73</v>
      </c>
      <c r="F19">
        <v>77</v>
      </c>
      <c r="G19">
        <v>216</v>
      </c>
      <c r="H19" s="3">
        <f t="shared" si="0"/>
        <v>72</v>
      </c>
      <c r="I19" s="3">
        <f t="shared" si="1"/>
        <v>72</v>
      </c>
      <c r="J19" t="str">
        <f t="shared" si="2"/>
        <v>pass</v>
      </c>
      <c r="K19">
        <f t="shared" si="3"/>
        <v>83</v>
      </c>
      <c r="L19" t="str">
        <f t="shared" si="4"/>
        <v>Good</v>
      </c>
      <c r="M19" t="str">
        <f t="shared" si="5"/>
        <v>English</v>
      </c>
      <c r="N19" t="str">
        <f t="shared" si="6"/>
        <v>Math</v>
      </c>
      <c r="O19" s="4">
        <f t="shared" si="7"/>
        <v>11</v>
      </c>
    </row>
    <row r="20" spans="1:15" x14ac:dyDescent="0.25">
      <c r="A20" t="s">
        <v>42</v>
      </c>
      <c r="B20" t="s">
        <v>43</v>
      </c>
      <c r="C20" t="s">
        <v>9</v>
      </c>
      <c r="D20">
        <v>83</v>
      </c>
      <c r="E20">
        <v>80</v>
      </c>
      <c r="F20">
        <v>86</v>
      </c>
      <c r="G20">
        <v>249</v>
      </c>
      <c r="H20" s="3">
        <f t="shared" si="0"/>
        <v>83</v>
      </c>
      <c r="I20" s="3">
        <f t="shared" si="1"/>
        <v>83</v>
      </c>
      <c r="J20" t="str">
        <f t="shared" si="2"/>
        <v>pass</v>
      </c>
      <c r="K20">
        <f t="shared" si="3"/>
        <v>51</v>
      </c>
      <c r="L20" t="str">
        <f t="shared" si="4"/>
        <v>Very Good</v>
      </c>
      <c r="M20" t="str">
        <f t="shared" si="5"/>
        <v>English</v>
      </c>
      <c r="N20" t="str">
        <f t="shared" si="6"/>
        <v>Science</v>
      </c>
      <c r="O20" s="4">
        <f t="shared" si="7"/>
        <v>6</v>
      </c>
    </row>
    <row r="21" spans="1:15" x14ac:dyDescent="0.25">
      <c r="A21" t="s">
        <v>44</v>
      </c>
      <c r="B21" t="s">
        <v>45</v>
      </c>
      <c r="C21" t="s">
        <v>9</v>
      </c>
      <c r="D21">
        <v>89</v>
      </c>
      <c r="E21">
        <v>85</v>
      </c>
      <c r="F21">
        <v>81</v>
      </c>
      <c r="G21">
        <v>255</v>
      </c>
      <c r="H21" s="3">
        <f t="shared" si="0"/>
        <v>85</v>
      </c>
      <c r="I21" s="3">
        <f t="shared" si="1"/>
        <v>85</v>
      </c>
      <c r="J21" t="str">
        <f t="shared" si="2"/>
        <v>pass</v>
      </c>
      <c r="K21">
        <f t="shared" si="3"/>
        <v>47</v>
      </c>
      <c r="L21" t="str">
        <f t="shared" si="4"/>
        <v>Very Good</v>
      </c>
      <c r="M21" t="str">
        <f t="shared" si="5"/>
        <v>Math</v>
      </c>
      <c r="N21" t="str">
        <f t="shared" si="6"/>
        <v>English</v>
      </c>
      <c r="O21" s="4">
        <f t="shared" si="7"/>
        <v>8</v>
      </c>
    </row>
    <row r="22" spans="1:15" x14ac:dyDescent="0.25">
      <c r="A22" t="s">
        <v>46</v>
      </c>
      <c r="B22" t="s">
        <v>47</v>
      </c>
      <c r="C22" t="s">
        <v>9</v>
      </c>
      <c r="D22">
        <v>77</v>
      </c>
      <c r="E22">
        <v>92</v>
      </c>
      <c r="F22">
        <v>89</v>
      </c>
      <c r="G22">
        <v>258</v>
      </c>
      <c r="H22" s="3">
        <f t="shared" si="0"/>
        <v>86</v>
      </c>
      <c r="I22" s="3">
        <f t="shared" si="1"/>
        <v>86</v>
      </c>
      <c r="J22" t="str">
        <f t="shared" si="2"/>
        <v>pass</v>
      </c>
      <c r="K22">
        <f t="shared" si="3"/>
        <v>46</v>
      </c>
      <c r="L22" t="str">
        <f t="shared" si="4"/>
        <v>Very Good</v>
      </c>
      <c r="M22" t="str">
        <f t="shared" si="5"/>
        <v>Science</v>
      </c>
      <c r="N22" t="str">
        <f t="shared" si="6"/>
        <v>Math</v>
      </c>
      <c r="O22" s="4">
        <f t="shared" si="7"/>
        <v>15</v>
      </c>
    </row>
    <row r="23" spans="1:15" x14ac:dyDescent="0.25">
      <c r="A23" t="s">
        <v>48</v>
      </c>
      <c r="B23" t="s">
        <v>49</v>
      </c>
      <c r="C23" t="s">
        <v>9</v>
      </c>
      <c r="D23">
        <v>68</v>
      </c>
      <c r="E23">
        <v>71</v>
      </c>
      <c r="F23">
        <v>65</v>
      </c>
      <c r="G23">
        <v>204</v>
      </c>
      <c r="H23" s="3">
        <f t="shared" si="0"/>
        <v>68</v>
      </c>
      <c r="I23" s="3">
        <f t="shared" si="1"/>
        <v>68</v>
      </c>
      <c r="J23" t="str">
        <f t="shared" si="2"/>
        <v>pass</v>
      </c>
      <c r="K23">
        <f t="shared" si="3"/>
        <v>96</v>
      </c>
      <c r="L23" t="str">
        <f t="shared" si="4"/>
        <v>Average</v>
      </c>
      <c r="M23" t="str">
        <f t="shared" si="5"/>
        <v>Science</v>
      </c>
      <c r="N23" t="str">
        <f t="shared" si="6"/>
        <v>English</v>
      </c>
      <c r="O23" s="4">
        <f t="shared" si="7"/>
        <v>6</v>
      </c>
    </row>
    <row r="24" spans="1:15" x14ac:dyDescent="0.25">
      <c r="A24" t="s">
        <v>50</v>
      </c>
      <c r="B24" t="s">
        <v>51</v>
      </c>
      <c r="C24" t="s">
        <v>9</v>
      </c>
      <c r="D24">
        <v>90</v>
      </c>
      <c r="E24">
        <v>88</v>
      </c>
      <c r="F24">
        <v>93</v>
      </c>
      <c r="G24">
        <v>271</v>
      </c>
      <c r="H24" s="3">
        <f t="shared" si="0"/>
        <v>90.333333333333329</v>
      </c>
      <c r="I24" s="3">
        <f t="shared" si="1"/>
        <v>90.333333333333329</v>
      </c>
      <c r="J24" t="str">
        <f t="shared" si="2"/>
        <v>pass</v>
      </c>
      <c r="K24">
        <f t="shared" si="3"/>
        <v>21</v>
      </c>
      <c r="L24" t="str">
        <f t="shared" si="4"/>
        <v>Very Good</v>
      </c>
      <c r="M24" t="str">
        <f t="shared" si="5"/>
        <v>English</v>
      </c>
      <c r="N24" t="str">
        <f t="shared" si="6"/>
        <v>Science</v>
      </c>
      <c r="O24" s="4">
        <f t="shared" si="7"/>
        <v>5</v>
      </c>
    </row>
    <row r="25" spans="1:15" x14ac:dyDescent="0.25">
      <c r="A25" t="s">
        <v>52</v>
      </c>
      <c r="B25" t="s">
        <v>53</v>
      </c>
      <c r="C25" t="s">
        <v>9</v>
      </c>
      <c r="D25">
        <v>74</v>
      </c>
      <c r="E25">
        <v>79</v>
      </c>
      <c r="F25">
        <v>72</v>
      </c>
      <c r="G25">
        <v>225</v>
      </c>
      <c r="H25" s="3">
        <f t="shared" si="0"/>
        <v>75</v>
      </c>
      <c r="I25" s="3">
        <f t="shared" si="1"/>
        <v>75</v>
      </c>
      <c r="J25" t="str">
        <f t="shared" si="2"/>
        <v>pass</v>
      </c>
      <c r="K25">
        <f t="shared" si="3"/>
        <v>72</v>
      </c>
      <c r="L25" t="str">
        <f t="shared" si="4"/>
        <v>Good</v>
      </c>
      <c r="M25" t="str">
        <f t="shared" si="5"/>
        <v>Science</v>
      </c>
      <c r="N25" t="str">
        <f t="shared" si="6"/>
        <v>English</v>
      </c>
      <c r="O25" s="4">
        <f t="shared" si="7"/>
        <v>7</v>
      </c>
    </row>
    <row r="26" spans="1:15" x14ac:dyDescent="0.25">
      <c r="A26" t="s">
        <v>54</v>
      </c>
      <c r="B26" t="s">
        <v>55</v>
      </c>
      <c r="C26" t="s">
        <v>9</v>
      </c>
      <c r="D26">
        <v>86</v>
      </c>
      <c r="E26">
        <v>90</v>
      </c>
      <c r="F26">
        <v>87</v>
      </c>
      <c r="G26">
        <v>263</v>
      </c>
      <c r="H26" s="3">
        <f t="shared" si="0"/>
        <v>87.666666666666671</v>
      </c>
      <c r="I26" s="3">
        <f t="shared" si="1"/>
        <v>87.666666666666671</v>
      </c>
      <c r="J26" t="str">
        <f t="shared" si="2"/>
        <v>pass</v>
      </c>
      <c r="K26">
        <f t="shared" si="3"/>
        <v>37</v>
      </c>
      <c r="L26" t="str">
        <f t="shared" si="4"/>
        <v>Very Good</v>
      </c>
      <c r="M26" t="str">
        <f t="shared" si="5"/>
        <v>Science</v>
      </c>
      <c r="N26" t="str">
        <f t="shared" si="6"/>
        <v>Math</v>
      </c>
      <c r="O26" s="4">
        <f t="shared" si="7"/>
        <v>4</v>
      </c>
    </row>
    <row r="27" spans="1:15" x14ac:dyDescent="0.25">
      <c r="A27" t="s">
        <v>56</v>
      </c>
      <c r="B27" t="s">
        <v>57</v>
      </c>
      <c r="C27" t="s">
        <v>9</v>
      </c>
      <c r="D27">
        <v>81</v>
      </c>
      <c r="E27">
        <v>76</v>
      </c>
      <c r="F27">
        <v>84</v>
      </c>
      <c r="G27">
        <v>241</v>
      </c>
      <c r="H27" s="3">
        <f t="shared" si="0"/>
        <v>80.333333333333329</v>
      </c>
      <c r="I27" s="3">
        <f t="shared" si="1"/>
        <v>80.333333333333329</v>
      </c>
      <c r="J27" t="str">
        <f t="shared" si="2"/>
        <v>pass</v>
      </c>
      <c r="K27">
        <f t="shared" si="3"/>
        <v>61</v>
      </c>
      <c r="L27" t="str">
        <f t="shared" si="4"/>
        <v>Very Good</v>
      </c>
      <c r="M27" t="str">
        <f t="shared" si="5"/>
        <v>English</v>
      </c>
      <c r="N27" t="str">
        <f t="shared" si="6"/>
        <v>Science</v>
      </c>
      <c r="O27" s="4">
        <f t="shared" si="7"/>
        <v>8</v>
      </c>
    </row>
    <row r="28" spans="1:15" x14ac:dyDescent="0.25">
      <c r="A28" t="s">
        <v>58</v>
      </c>
      <c r="B28" t="s">
        <v>59</v>
      </c>
      <c r="C28" t="s">
        <v>9</v>
      </c>
      <c r="D28">
        <v>93</v>
      </c>
      <c r="E28">
        <v>95</v>
      </c>
      <c r="F28">
        <v>90</v>
      </c>
      <c r="G28">
        <v>278</v>
      </c>
      <c r="H28" s="3">
        <f t="shared" si="0"/>
        <v>92.666666666666657</v>
      </c>
      <c r="I28" s="3">
        <f t="shared" si="1"/>
        <v>92.666666666666671</v>
      </c>
      <c r="J28" t="str">
        <f t="shared" si="2"/>
        <v>pass</v>
      </c>
      <c r="K28">
        <f t="shared" si="3"/>
        <v>7</v>
      </c>
      <c r="L28" t="str">
        <f t="shared" si="4"/>
        <v>Very Good</v>
      </c>
      <c r="M28" t="str">
        <f t="shared" si="5"/>
        <v>Science</v>
      </c>
      <c r="N28" t="str">
        <f t="shared" si="6"/>
        <v>English</v>
      </c>
      <c r="O28" s="4">
        <f t="shared" si="7"/>
        <v>5</v>
      </c>
    </row>
    <row r="29" spans="1:15" x14ac:dyDescent="0.25">
      <c r="A29" t="s">
        <v>60</v>
      </c>
      <c r="B29" t="s">
        <v>61</v>
      </c>
      <c r="C29" t="s">
        <v>9</v>
      </c>
      <c r="D29">
        <v>72</v>
      </c>
      <c r="E29">
        <v>67</v>
      </c>
      <c r="F29">
        <v>75</v>
      </c>
      <c r="G29">
        <v>214</v>
      </c>
      <c r="H29" s="3">
        <f t="shared" si="0"/>
        <v>71.333333333333343</v>
      </c>
      <c r="I29" s="3">
        <f t="shared" si="1"/>
        <v>71.333333333333329</v>
      </c>
      <c r="J29" t="str">
        <f t="shared" si="2"/>
        <v>pass</v>
      </c>
      <c r="K29">
        <f t="shared" si="3"/>
        <v>87</v>
      </c>
      <c r="L29" t="str">
        <f t="shared" si="4"/>
        <v>Good</v>
      </c>
      <c r="M29" t="str">
        <f t="shared" si="5"/>
        <v>English</v>
      </c>
      <c r="N29" t="str">
        <f t="shared" si="6"/>
        <v>Science</v>
      </c>
      <c r="O29" s="4">
        <f t="shared" si="7"/>
        <v>8</v>
      </c>
    </row>
    <row r="30" spans="1:15" x14ac:dyDescent="0.25">
      <c r="A30" t="s">
        <v>62</v>
      </c>
      <c r="B30" t="s">
        <v>63</v>
      </c>
      <c r="C30" t="s">
        <v>9</v>
      </c>
      <c r="D30">
        <v>88</v>
      </c>
      <c r="E30">
        <v>82</v>
      </c>
      <c r="F30">
        <v>91</v>
      </c>
      <c r="G30">
        <v>261</v>
      </c>
      <c r="H30" s="3">
        <f t="shared" si="0"/>
        <v>87</v>
      </c>
      <c r="I30" s="3">
        <f t="shared" si="1"/>
        <v>87</v>
      </c>
      <c r="J30" t="str">
        <f t="shared" si="2"/>
        <v>pass</v>
      </c>
      <c r="K30">
        <f t="shared" si="3"/>
        <v>42</v>
      </c>
      <c r="L30" t="str">
        <f t="shared" si="4"/>
        <v>Very Good</v>
      </c>
      <c r="M30" t="str">
        <f t="shared" si="5"/>
        <v>English</v>
      </c>
      <c r="N30" t="str">
        <f t="shared" si="6"/>
        <v>Science</v>
      </c>
      <c r="O30" s="4">
        <f t="shared" si="7"/>
        <v>9</v>
      </c>
    </row>
    <row r="31" spans="1:15" x14ac:dyDescent="0.25">
      <c r="A31" t="s">
        <v>64</v>
      </c>
      <c r="B31" t="s">
        <v>65</v>
      </c>
      <c r="C31" t="s">
        <v>9</v>
      </c>
      <c r="D31">
        <v>65</v>
      </c>
      <c r="E31">
        <v>77</v>
      </c>
      <c r="F31">
        <v>69</v>
      </c>
      <c r="G31">
        <v>211</v>
      </c>
      <c r="H31" s="3">
        <f t="shared" si="0"/>
        <v>70.333333333333343</v>
      </c>
      <c r="I31" s="3">
        <f t="shared" si="1"/>
        <v>70.333333333333329</v>
      </c>
      <c r="J31" t="str">
        <f t="shared" si="2"/>
        <v>pass</v>
      </c>
      <c r="K31">
        <f t="shared" si="3"/>
        <v>91</v>
      </c>
      <c r="L31" t="str">
        <f t="shared" si="4"/>
        <v>Good</v>
      </c>
      <c r="M31" t="str">
        <f t="shared" si="5"/>
        <v>Science</v>
      </c>
      <c r="N31" t="str">
        <f t="shared" si="6"/>
        <v>Math</v>
      </c>
      <c r="O31" s="4">
        <f t="shared" si="7"/>
        <v>12</v>
      </c>
    </row>
    <row r="32" spans="1:15" x14ac:dyDescent="0.25">
      <c r="A32" t="s">
        <v>66</v>
      </c>
      <c r="B32" t="s">
        <v>67</v>
      </c>
      <c r="C32" t="s">
        <v>9</v>
      </c>
      <c r="D32">
        <v>96</v>
      </c>
      <c r="E32">
        <v>91</v>
      </c>
      <c r="F32">
        <v>94</v>
      </c>
      <c r="G32">
        <v>281</v>
      </c>
      <c r="H32" s="3">
        <f t="shared" si="0"/>
        <v>93.666666666666671</v>
      </c>
      <c r="I32" s="3">
        <f t="shared" si="1"/>
        <v>93.666666666666671</v>
      </c>
      <c r="J32" t="str">
        <f t="shared" si="2"/>
        <v>pass</v>
      </c>
      <c r="K32">
        <f t="shared" si="3"/>
        <v>3</v>
      </c>
      <c r="L32" t="str">
        <f t="shared" si="4"/>
        <v>Very Good</v>
      </c>
      <c r="M32" t="str">
        <f t="shared" si="5"/>
        <v>Math</v>
      </c>
      <c r="N32" t="str">
        <f t="shared" si="6"/>
        <v>Science</v>
      </c>
      <c r="O32" s="4">
        <f t="shared" si="7"/>
        <v>5</v>
      </c>
    </row>
    <row r="33" spans="1:15" x14ac:dyDescent="0.25">
      <c r="A33" t="s">
        <v>68</v>
      </c>
      <c r="B33" t="s">
        <v>69</v>
      </c>
      <c r="C33" t="s">
        <v>9</v>
      </c>
      <c r="D33">
        <v>78</v>
      </c>
      <c r="E33">
        <v>83</v>
      </c>
      <c r="F33">
        <v>80</v>
      </c>
      <c r="G33">
        <v>241</v>
      </c>
      <c r="H33" s="3">
        <f t="shared" si="0"/>
        <v>80.333333333333329</v>
      </c>
      <c r="I33" s="3">
        <f t="shared" si="1"/>
        <v>80.333333333333329</v>
      </c>
      <c r="J33" t="str">
        <f t="shared" si="2"/>
        <v>pass</v>
      </c>
      <c r="K33">
        <f t="shared" si="3"/>
        <v>61</v>
      </c>
      <c r="L33" t="str">
        <f t="shared" si="4"/>
        <v>Very Good</v>
      </c>
      <c r="M33" t="str">
        <f t="shared" si="5"/>
        <v>Science</v>
      </c>
      <c r="N33" t="str">
        <f t="shared" si="6"/>
        <v>Math</v>
      </c>
      <c r="O33" s="4">
        <f t="shared" si="7"/>
        <v>5</v>
      </c>
    </row>
    <row r="34" spans="1:15" x14ac:dyDescent="0.25">
      <c r="A34" t="s">
        <v>70</v>
      </c>
      <c r="B34" t="s">
        <v>71</v>
      </c>
      <c r="C34" t="s">
        <v>9</v>
      </c>
      <c r="D34">
        <v>85</v>
      </c>
      <c r="E34">
        <v>87</v>
      </c>
      <c r="F34">
        <v>89</v>
      </c>
      <c r="G34">
        <v>261</v>
      </c>
      <c r="H34" s="3">
        <f t="shared" si="0"/>
        <v>87</v>
      </c>
      <c r="I34" s="3">
        <f t="shared" si="1"/>
        <v>87</v>
      </c>
      <c r="J34" t="str">
        <f t="shared" si="2"/>
        <v>pass</v>
      </c>
      <c r="K34">
        <f t="shared" si="3"/>
        <v>42</v>
      </c>
      <c r="L34" t="str">
        <f t="shared" si="4"/>
        <v>Very Good</v>
      </c>
      <c r="M34" t="str">
        <f t="shared" si="5"/>
        <v>English</v>
      </c>
      <c r="N34" t="str">
        <f t="shared" si="6"/>
        <v>Math</v>
      </c>
      <c r="O34" s="4">
        <f t="shared" si="7"/>
        <v>4</v>
      </c>
    </row>
    <row r="35" spans="1:15" x14ac:dyDescent="0.25">
      <c r="A35" t="s">
        <v>72</v>
      </c>
      <c r="B35" t="s">
        <v>73</v>
      </c>
      <c r="C35" t="s">
        <v>9</v>
      </c>
      <c r="D35">
        <v>70</v>
      </c>
      <c r="E35">
        <v>74</v>
      </c>
      <c r="F35">
        <v>78</v>
      </c>
      <c r="G35">
        <v>222</v>
      </c>
      <c r="H35" s="3">
        <f t="shared" si="0"/>
        <v>74</v>
      </c>
      <c r="I35" s="3">
        <f t="shared" si="1"/>
        <v>74</v>
      </c>
      <c r="J35" t="str">
        <f t="shared" si="2"/>
        <v>pass</v>
      </c>
      <c r="K35">
        <f t="shared" si="3"/>
        <v>77</v>
      </c>
      <c r="L35" t="str">
        <f t="shared" si="4"/>
        <v>Good</v>
      </c>
      <c r="M35" t="str">
        <f t="shared" si="5"/>
        <v>English</v>
      </c>
      <c r="N35" t="str">
        <f t="shared" si="6"/>
        <v>Math</v>
      </c>
      <c r="O35" s="4">
        <f t="shared" si="7"/>
        <v>8</v>
      </c>
    </row>
    <row r="36" spans="1:15" x14ac:dyDescent="0.25">
      <c r="A36" t="s">
        <v>74</v>
      </c>
      <c r="B36" t="s">
        <v>75</v>
      </c>
      <c r="C36" t="s">
        <v>9</v>
      </c>
      <c r="D36">
        <v>92</v>
      </c>
      <c r="E36">
        <v>90</v>
      </c>
      <c r="F36">
        <v>86</v>
      </c>
      <c r="G36">
        <v>268</v>
      </c>
      <c r="H36" s="3">
        <f t="shared" si="0"/>
        <v>89.333333333333329</v>
      </c>
      <c r="I36" s="3">
        <f t="shared" si="1"/>
        <v>89.333333333333329</v>
      </c>
      <c r="J36" t="str">
        <f t="shared" si="2"/>
        <v>pass</v>
      </c>
      <c r="K36">
        <f t="shared" si="3"/>
        <v>29</v>
      </c>
      <c r="L36" t="str">
        <f t="shared" si="4"/>
        <v>Very Good</v>
      </c>
      <c r="M36" t="str">
        <f t="shared" si="5"/>
        <v>Math</v>
      </c>
      <c r="N36" t="str">
        <f t="shared" si="6"/>
        <v>English</v>
      </c>
      <c r="O36" s="4">
        <f t="shared" si="7"/>
        <v>6</v>
      </c>
    </row>
    <row r="37" spans="1:15" x14ac:dyDescent="0.25">
      <c r="A37" t="s">
        <v>76</v>
      </c>
      <c r="B37" t="s">
        <v>77</v>
      </c>
      <c r="C37" t="s">
        <v>9</v>
      </c>
      <c r="D37">
        <v>80</v>
      </c>
      <c r="E37">
        <v>75</v>
      </c>
      <c r="F37">
        <v>82</v>
      </c>
      <c r="G37">
        <v>237</v>
      </c>
      <c r="H37" s="3">
        <f t="shared" si="0"/>
        <v>79</v>
      </c>
      <c r="I37" s="3">
        <f t="shared" si="1"/>
        <v>79</v>
      </c>
      <c r="J37" t="str">
        <f t="shared" si="2"/>
        <v>pass</v>
      </c>
      <c r="K37">
        <f t="shared" si="3"/>
        <v>64</v>
      </c>
      <c r="L37" t="str">
        <f t="shared" si="4"/>
        <v>Good</v>
      </c>
      <c r="M37" t="str">
        <f t="shared" si="5"/>
        <v>English</v>
      </c>
      <c r="N37" t="str">
        <f t="shared" si="6"/>
        <v>Science</v>
      </c>
      <c r="O37" s="4">
        <f t="shared" si="7"/>
        <v>7</v>
      </c>
    </row>
    <row r="38" spans="1:15" x14ac:dyDescent="0.25">
      <c r="A38" t="s">
        <v>78</v>
      </c>
      <c r="B38" t="s">
        <v>79</v>
      </c>
      <c r="C38" t="s">
        <v>9</v>
      </c>
      <c r="D38">
        <v>89</v>
      </c>
      <c r="E38">
        <v>94</v>
      </c>
      <c r="F38">
        <v>91</v>
      </c>
      <c r="G38">
        <v>274</v>
      </c>
      <c r="H38" s="3">
        <f t="shared" si="0"/>
        <v>91.333333333333329</v>
      </c>
      <c r="I38" s="3">
        <f t="shared" si="1"/>
        <v>91.333333333333329</v>
      </c>
      <c r="J38" t="str">
        <f t="shared" si="2"/>
        <v>pass</v>
      </c>
      <c r="K38">
        <f t="shared" si="3"/>
        <v>16</v>
      </c>
      <c r="L38" t="str">
        <f t="shared" si="4"/>
        <v>Very Good</v>
      </c>
      <c r="M38" t="str">
        <f t="shared" si="5"/>
        <v>Science</v>
      </c>
      <c r="N38" t="str">
        <f t="shared" si="6"/>
        <v>Math</v>
      </c>
      <c r="O38" s="4">
        <f t="shared" si="7"/>
        <v>5</v>
      </c>
    </row>
    <row r="39" spans="1:15" x14ac:dyDescent="0.25">
      <c r="A39" t="s">
        <v>80</v>
      </c>
      <c r="B39" t="s">
        <v>81</v>
      </c>
      <c r="C39" t="s">
        <v>9</v>
      </c>
      <c r="D39">
        <v>63</v>
      </c>
      <c r="E39">
        <v>70</v>
      </c>
      <c r="F39">
        <v>68</v>
      </c>
      <c r="G39">
        <v>201</v>
      </c>
      <c r="H39" s="3">
        <f t="shared" si="0"/>
        <v>67</v>
      </c>
      <c r="I39" s="3">
        <f t="shared" si="1"/>
        <v>67</v>
      </c>
      <c r="J39" t="str">
        <f t="shared" si="2"/>
        <v>pass</v>
      </c>
      <c r="K39">
        <f t="shared" si="3"/>
        <v>99</v>
      </c>
      <c r="L39" t="str">
        <f t="shared" si="4"/>
        <v>Average</v>
      </c>
      <c r="M39" t="str">
        <f t="shared" si="5"/>
        <v>Science</v>
      </c>
      <c r="N39" t="str">
        <f t="shared" si="6"/>
        <v>Math</v>
      </c>
      <c r="O39" s="4">
        <f t="shared" si="7"/>
        <v>7</v>
      </c>
    </row>
    <row r="40" spans="1:15" x14ac:dyDescent="0.25">
      <c r="A40" t="s">
        <v>82</v>
      </c>
      <c r="B40" t="s">
        <v>83</v>
      </c>
      <c r="C40" t="s">
        <v>9</v>
      </c>
      <c r="D40">
        <v>84</v>
      </c>
      <c r="E40">
        <v>81</v>
      </c>
      <c r="F40">
        <v>88</v>
      </c>
      <c r="G40">
        <v>253</v>
      </c>
      <c r="H40" s="3">
        <f t="shared" si="0"/>
        <v>84.333333333333343</v>
      </c>
      <c r="I40" s="3">
        <f t="shared" si="1"/>
        <v>84.333333333333329</v>
      </c>
      <c r="J40" t="str">
        <f t="shared" si="2"/>
        <v>pass</v>
      </c>
      <c r="K40">
        <f t="shared" si="3"/>
        <v>48</v>
      </c>
      <c r="L40" t="str">
        <f t="shared" si="4"/>
        <v>Very Good</v>
      </c>
      <c r="M40" t="str">
        <f t="shared" si="5"/>
        <v>English</v>
      </c>
      <c r="N40" t="str">
        <f t="shared" si="6"/>
        <v>Science</v>
      </c>
      <c r="O40" s="4">
        <f t="shared" si="7"/>
        <v>7</v>
      </c>
    </row>
    <row r="41" spans="1:15" x14ac:dyDescent="0.25">
      <c r="A41" t="s">
        <v>84</v>
      </c>
      <c r="B41" t="s">
        <v>85</v>
      </c>
      <c r="C41" t="s">
        <v>9</v>
      </c>
      <c r="D41">
        <v>75</v>
      </c>
      <c r="E41">
        <v>69</v>
      </c>
      <c r="F41">
        <v>73</v>
      </c>
      <c r="G41">
        <v>217</v>
      </c>
      <c r="H41" s="3">
        <f t="shared" si="0"/>
        <v>72.333333333333343</v>
      </c>
      <c r="I41" s="3">
        <f t="shared" si="1"/>
        <v>72.333333333333329</v>
      </c>
      <c r="J41" t="str">
        <f t="shared" si="2"/>
        <v>pass</v>
      </c>
      <c r="K41">
        <f t="shared" si="3"/>
        <v>82</v>
      </c>
      <c r="L41" t="str">
        <f t="shared" si="4"/>
        <v>Good</v>
      </c>
      <c r="M41" t="str">
        <f t="shared" si="5"/>
        <v>Math</v>
      </c>
      <c r="N41" t="str">
        <f t="shared" si="6"/>
        <v>Science</v>
      </c>
      <c r="O41" s="4">
        <f t="shared" si="7"/>
        <v>6</v>
      </c>
    </row>
    <row r="42" spans="1:15" x14ac:dyDescent="0.25">
      <c r="A42" t="s">
        <v>86</v>
      </c>
      <c r="B42" t="s">
        <v>87</v>
      </c>
      <c r="C42" t="s">
        <v>9</v>
      </c>
      <c r="D42">
        <v>91</v>
      </c>
      <c r="E42">
        <v>93</v>
      </c>
      <c r="F42">
        <v>95</v>
      </c>
      <c r="G42">
        <v>279</v>
      </c>
      <c r="H42" s="3">
        <f t="shared" si="0"/>
        <v>93</v>
      </c>
      <c r="I42" s="3">
        <f t="shared" si="1"/>
        <v>93</v>
      </c>
      <c r="J42" t="str">
        <f t="shared" si="2"/>
        <v>pass</v>
      </c>
      <c r="K42">
        <f t="shared" si="3"/>
        <v>5</v>
      </c>
      <c r="L42" t="str">
        <f t="shared" si="4"/>
        <v>Very Good</v>
      </c>
      <c r="M42" t="str">
        <f t="shared" si="5"/>
        <v>English</v>
      </c>
      <c r="N42" t="str">
        <f t="shared" si="6"/>
        <v>Math</v>
      </c>
      <c r="O42" s="4">
        <f t="shared" si="7"/>
        <v>4</v>
      </c>
    </row>
    <row r="43" spans="1:15" x14ac:dyDescent="0.25">
      <c r="A43" t="s">
        <v>88</v>
      </c>
      <c r="B43" t="s">
        <v>89</v>
      </c>
      <c r="C43" t="s">
        <v>9</v>
      </c>
      <c r="D43">
        <v>77</v>
      </c>
      <c r="E43">
        <v>80</v>
      </c>
      <c r="F43">
        <v>76</v>
      </c>
      <c r="G43">
        <v>233</v>
      </c>
      <c r="H43" s="3">
        <f t="shared" si="0"/>
        <v>77.666666666666657</v>
      </c>
      <c r="I43" s="3">
        <f t="shared" si="1"/>
        <v>77.666666666666671</v>
      </c>
      <c r="J43" t="str">
        <f t="shared" si="2"/>
        <v>pass</v>
      </c>
      <c r="K43">
        <f t="shared" si="3"/>
        <v>65</v>
      </c>
      <c r="L43" t="str">
        <f t="shared" si="4"/>
        <v>Good</v>
      </c>
      <c r="M43" t="str">
        <f t="shared" si="5"/>
        <v>Science</v>
      </c>
      <c r="N43" t="str">
        <f t="shared" si="6"/>
        <v>English</v>
      </c>
      <c r="O43" s="4">
        <f t="shared" si="7"/>
        <v>4</v>
      </c>
    </row>
    <row r="44" spans="1:15" x14ac:dyDescent="0.25">
      <c r="A44" t="s">
        <v>90</v>
      </c>
      <c r="B44" t="s">
        <v>91</v>
      </c>
      <c r="C44" t="s">
        <v>9</v>
      </c>
      <c r="D44">
        <v>86</v>
      </c>
      <c r="E44">
        <v>88</v>
      </c>
      <c r="F44">
        <v>90</v>
      </c>
      <c r="G44">
        <v>264</v>
      </c>
      <c r="H44" s="3">
        <f t="shared" si="0"/>
        <v>88</v>
      </c>
      <c r="I44" s="3">
        <f t="shared" si="1"/>
        <v>88</v>
      </c>
      <c r="J44" t="str">
        <f t="shared" si="2"/>
        <v>pass</v>
      </c>
      <c r="K44">
        <f t="shared" si="3"/>
        <v>36</v>
      </c>
      <c r="L44" t="str">
        <f t="shared" si="4"/>
        <v>Very Good</v>
      </c>
      <c r="M44" t="str">
        <f t="shared" si="5"/>
        <v>English</v>
      </c>
      <c r="N44" t="str">
        <f t="shared" si="6"/>
        <v>Math</v>
      </c>
      <c r="O44" s="4">
        <f t="shared" si="7"/>
        <v>4</v>
      </c>
    </row>
    <row r="45" spans="1:15" x14ac:dyDescent="0.25">
      <c r="A45" t="s">
        <v>92</v>
      </c>
      <c r="B45" t="s">
        <v>93</v>
      </c>
      <c r="C45" t="s">
        <v>9</v>
      </c>
      <c r="D45">
        <v>69</v>
      </c>
      <c r="E45">
        <v>72</v>
      </c>
      <c r="F45">
        <v>79</v>
      </c>
      <c r="G45">
        <v>220</v>
      </c>
      <c r="H45" s="3">
        <f t="shared" si="0"/>
        <v>73.333333333333329</v>
      </c>
      <c r="I45" s="3">
        <f t="shared" si="1"/>
        <v>73.333333333333329</v>
      </c>
      <c r="J45" t="str">
        <f t="shared" si="2"/>
        <v>pass</v>
      </c>
      <c r="K45">
        <f t="shared" si="3"/>
        <v>78</v>
      </c>
      <c r="L45" t="str">
        <f t="shared" si="4"/>
        <v>Good</v>
      </c>
      <c r="M45" t="str">
        <f t="shared" si="5"/>
        <v>English</v>
      </c>
      <c r="N45" t="str">
        <f t="shared" si="6"/>
        <v>Math</v>
      </c>
      <c r="O45" s="4">
        <f t="shared" si="7"/>
        <v>10</v>
      </c>
    </row>
    <row r="46" spans="1:15" x14ac:dyDescent="0.25">
      <c r="A46" t="s">
        <v>94</v>
      </c>
      <c r="B46" t="s">
        <v>95</v>
      </c>
      <c r="C46" t="s">
        <v>9</v>
      </c>
      <c r="D46">
        <v>94</v>
      </c>
      <c r="E46">
        <v>90</v>
      </c>
      <c r="F46">
        <v>92</v>
      </c>
      <c r="G46">
        <v>276</v>
      </c>
      <c r="H46" s="3">
        <f t="shared" si="0"/>
        <v>92</v>
      </c>
      <c r="I46" s="3">
        <f t="shared" si="1"/>
        <v>92</v>
      </c>
      <c r="J46" t="str">
        <f t="shared" si="2"/>
        <v>pass</v>
      </c>
      <c r="K46">
        <f t="shared" si="3"/>
        <v>11</v>
      </c>
      <c r="L46" t="str">
        <f t="shared" si="4"/>
        <v>Very Good</v>
      </c>
      <c r="M46" t="str">
        <f t="shared" si="5"/>
        <v>Math</v>
      </c>
      <c r="N46" t="str">
        <f t="shared" si="6"/>
        <v>Science</v>
      </c>
      <c r="O46" s="4">
        <f t="shared" si="7"/>
        <v>4</v>
      </c>
    </row>
    <row r="47" spans="1:15" x14ac:dyDescent="0.25">
      <c r="A47" t="s">
        <v>96</v>
      </c>
      <c r="B47" t="s">
        <v>97</v>
      </c>
      <c r="C47" t="s">
        <v>9</v>
      </c>
      <c r="D47">
        <v>81</v>
      </c>
      <c r="E47">
        <v>85</v>
      </c>
      <c r="F47">
        <v>78</v>
      </c>
      <c r="G47">
        <v>244</v>
      </c>
      <c r="H47" s="3">
        <f t="shared" si="0"/>
        <v>81.333333333333329</v>
      </c>
      <c r="I47" s="3">
        <f t="shared" si="1"/>
        <v>81.333333333333329</v>
      </c>
      <c r="J47" t="str">
        <f t="shared" si="2"/>
        <v>pass</v>
      </c>
      <c r="K47">
        <f t="shared" si="3"/>
        <v>57</v>
      </c>
      <c r="L47" t="str">
        <f t="shared" si="4"/>
        <v>Very Good</v>
      </c>
      <c r="M47" t="str">
        <f t="shared" si="5"/>
        <v>Science</v>
      </c>
      <c r="N47" t="str">
        <f t="shared" si="6"/>
        <v>English</v>
      </c>
      <c r="O47" s="4">
        <f t="shared" si="7"/>
        <v>7</v>
      </c>
    </row>
    <row r="48" spans="1:15" x14ac:dyDescent="0.25">
      <c r="A48" t="s">
        <v>98</v>
      </c>
      <c r="B48" t="s">
        <v>99</v>
      </c>
      <c r="C48" t="s">
        <v>9</v>
      </c>
      <c r="D48">
        <v>88</v>
      </c>
      <c r="E48">
        <v>91</v>
      </c>
      <c r="F48">
        <v>84</v>
      </c>
      <c r="G48">
        <v>263</v>
      </c>
      <c r="H48" s="3">
        <f t="shared" si="0"/>
        <v>87.666666666666671</v>
      </c>
      <c r="I48" s="3">
        <f t="shared" si="1"/>
        <v>87.666666666666671</v>
      </c>
      <c r="J48" t="str">
        <f t="shared" si="2"/>
        <v>pass</v>
      </c>
      <c r="K48">
        <f t="shared" si="3"/>
        <v>37</v>
      </c>
      <c r="L48" t="str">
        <f t="shared" si="4"/>
        <v>Very Good</v>
      </c>
      <c r="M48" t="str">
        <f t="shared" si="5"/>
        <v>Science</v>
      </c>
      <c r="N48" t="str">
        <f t="shared" si="6"/>
        <v>English</v>
      </c>
      <c r="O48" s="4">
        <f t="shared" si="7"/>
        <v>7</v>
      </c>
    </row>
    <row r="49" spans="1:15" x14ac:dyDescent="0.25">
      <c r="A49" t="s">
        <v>100</v>
      </c>
      <c r="B49" t="s">
        <v>101</v>
      </c>
      <c r="C49" t="s">
        <v>9</v>
      </c>
      <c r="D49">
        <v>73</v>
      </c>
      <c r="E49">
        <v>76</v>
      </c>
      <c r="F49">
        <v>71</v>
      </c>
      <c r="G49">
        <v>220</v>
      </c>
      <c r="H49" s="3">
        <f t="shared" si="0"/>
        <v>73.333333333333329</v>
      </c>
      <c r="I49" s="3">
        <f t="shared" si="1"/>
        <v>73.333333333333329</v>
      </c>
      <c r="J49" t="str">
        <f t="shared" si="2"/>
        <v>pass</v>
      </c>
      <c r="K49">
        <f t="shared" si="3"/>
        <v>78</v>
      </c>
      <c r="L49" t="str">
        <f t="shared" si="4"/>
        <v>Good</v>
      </c>
      <c r="M49" t="str">
        <f t="shared" si="5"/>
        <v>Science</v>
      </c>
      <c r="N49" t="str">
        <f t="shared" si="6"/>
        <v>English</v>
      </c>
      <c r="O49" s="4">
        <f t="shared" si="7"/>
        <v>5</v>
      </c>
    </row>
    <row r="50" spans="1:15" x14ac:dyDescent="0.25">
      <c r="A50" t="s">
        <v>102</v>
      </c>
      <c r="B50" t="s">
        <v>103</v>
      </c>
      <c r="C50" t="s">
        <v>9</v>
      </c>
      <c r="D50">
        <v>90</v>
      </c>
      <c r="E50">
        <v>86</v>
      </c>
      <c r="F50">
        <v>93</v>
      </c>
      <c r="G50">
        <v>269</v>
      </c>
      <c r="H50" s="3">
        <f t="shared" si="0"/>
        <v>89.666666666666657</v>
      </c>
      <c r="I50" s="3">
        <f t="shared" si="1"/>
        <v>89.666666666666671</v>
      </c>
      <c r="J50" t="str">
        <f t="shared" si="2"/>
        <v>pass</v>
      </c>
      <c r="K50">
        <f t="shared" si="3"/>
        <v>27</v>
      </c>
      <c r="L50" t="str">
        <f t="shared" si="4"/>
        <v>Very Good</v>
      </c>
      <c r="M50" t="str">
        <f t="shared" si="5"/>
        <v>English</v>
      </c>
      <c r="N50" t="str">
        <f t="shared" si="6"/>
        <v>Science</v>
      </c>
      <c r="O50" s="4">
        <f t="shared" si="7"/>
        <v>7</v>
      </c>
    </row>
    <row r="51" spans="1:15" x14ac:dyDescent="0.25">
      <c r="A51" t="s">
        <v>104</v>
      </c>
      <c r="B51" t="s">
        <v>105</v>
      </c>
      <c r="C51" t="s">
        <v>9</v>
      </c>
      <c r="D51">
        <v>67</v>
      </c>
      <c r="E51">
        <v>65</v>
      </c>
      <c r="F51">
        <v>70</v>
      </c>
      <c r="G51">
        <v>202</v>
      </c>
      <c r="H51" s="3">
        <f t="shared" si="0"/>
        <v>67.333333333333329</v>
      </c>
      <c r="I51" s="3">
        <f t="shared" si="1"/>
        <v>67.333333333333329</v>
      </c>
      <c r="J51" t="str">
        <f t="shared" si="2"/>
        <v>pass</v>
      </c>
      <c r="K51">
        <f t="shared" si="3"/>
        <v>98</v>
      </c>
      <c r="L51" t="str">
        <f t="shared" si="4"/>
        <v>Average</v>
      </c>
      <c r="M51" t="str">
        <f t="shared" si="5"/>
        <v>English</v>
      </c>
      <c r="N51" t="str">
        <f t="shared" si="6"/>
        <v>Science</v>
      </c>
      <c r="O51" s="4">
        <f t="shared" si="7"/>
        <v>5</v>
      </c>
    </row>
    <row r="52" spans="1:15" x14ac:dyDescent="0.25">
      <c r="A52" t="s">
        <v>106</v>
      </c>
      <c r="B52" t="s">
        <v>107</v>
      </c>
      <c r="C52" t="s">
        <v>9</v>
      </c>
      <c r="D52">
        <v>95</v>
      </c>
      <c r="E52">
        <v>92</v>
      </c>
      <c r="F52">
        <v>96</v>
      </c>
      <c r="G52">
        <v>283</v>
      </c>
      <c r="H52" s="3">
        <f t="shared" si="0"/>
        <v>94.333333333333343</v>
      </c>
      <c r="I52" s="3">
        <f t="shared" si="1"/>
        <v>94.333333333333329</v>
      </c>
      <c r="J52" t="str">
        <f t="shared" si="2"/>
        <v>pass</v>
      </c>
      <c r="K52">
        <f t="shared" si="3"/>
        <v>1</v>
      </c>
      <c r="L52" t="str">
        <f t="shared" si="4"/>
        <v>Very Good</v>
      </c>
      <c r="M52" t="str">
        <f t="shared" si="5"/>
        <v>English</v>
      </c>
      <c r="N52" t="str">
        <f t="shared" si="6"/>
        <v>Science</v>
      </c>
      <c r="O52" s="4">
        <f t="shared" si="7"/>
        <v>4</v>
      </c>
    </row>
    <row r="53" spans="1:15" x14ac:dyDescent="0.25">
      <c r="A53" t="s">
        <v>108</v>
      </c>
      <c r="B53" t="s">
        <v>109</v>
      </c>
      <c r="C53" t="s">
        <v>9</v>
      </c>
      <c r="D53">
        <v>79</v>
      </c>
      <c r="E53">
        <v>84</v>
      </c>
      <c r="F53">
        <v>81</v>
      </c>
      <c r="G53">
        <v>244</v>
      </c>
      <c r="H53" s="3">
        <f t="shared" si="0"/>
        <v>81.333333333333329</v>
      </c>
      <c r="I53" s="3">
        <f t="shared" si="1"/>
        <v>81.333333333333329</v>
      </c>
      <c r="J53" t="str">
        <f t="shared" si="2"/>
        <v>pass</v>
      </c>
      <c r="K53">
        <f t="shared" si="3"/>
        <v>57</v>
      </c>
      <c r="L53" t="str">
        <f t="shared" si="4"/>
        <v>Very Good</v>
      </c>
      <c r="M53" t="str">
        <f t="shared" si="5"/>
        <v>Science</v>
      </c>
      <c r="N53" t="str">
        <f t="shared" si="6"/>
        <v>Math</v>
      </c>
      <c r="O53" s="4">
        <f t="shared" si="7"/>
        <v>5</v>
      </c>
    </row>
    <row r="54" spans="1:15" x14ac:dyDescent="0.25">
      <c r="A54" t="s">
        <v>110</v>
      </c>
      <c r="B54" t="s">
        <v>111</v>
      </c>
      <c r="C54" t="s">
        <v>9</v>
      </c>
      <c r="D54">
        <v>87</v>
      </c>
      <c r="E54">
        <v>89</v>
      </c>
      <c r="F54">
        <v>90</v>
      </c>
      <c r="G54">
        <v>266</v>
      </c>
      <c r="H54" s="3">
        <f t="shared" si="0"/>
        <v>88.666666666666671</v>
      </c>
      <c r="I54" s="3">
        <f t="shared" si="1"/>
        <v>88.666666666666671</v>
      </c>
      <c r="J54" t="str">
        <f t="shared" si="2"/>
        <v>pass</v>
      </c>
      <c r="K54">
        <f t="shared" si="3"/>
        <v>33</v>
      </c>
      <c r="L54" t="str">
        <f t="shared" si="4"/>
        <v>Very Good</v>
      </c>
      <c r="M54" t="str">
        <f t="shared" si="5"/>
        <v>English</v>
      </c>
      <c r="N54" t="str">
        <f t="shared" si="6"/>
        <v>Math</v>
      </c>
      <c r="O54" s="4">
        <f t="shared" si="7"/>
        <v>3</v>
      </c>
    </row>
    <row r="55" spans="1:15" x14ac:dyDescent="0.25">
      <c r="A55" t="s">
        <v>112</v>
      </c>
      <c r="B55" t="s">
        <v>113</v>
      </c>
      <c r="C55" t="s">
        <v>9</v>
      </c>
      <c r="D55">
        <v>72</v>
      </c>
      <c r="E55">
        <v>78</v>
      </c>
      <c r="F55">
        <v>75</v>
      </c>
      <c r="G55">
        <v>225</v>
      </c>
      <c r="H55" s="3">
        <f t="shared" si="0"/>
        <v>75</v>
      </c>
      <c r="I55" s="3">
        <f t="shared" si="1"/>
        <v>75</v>
      </c>
      <c r="J55" t="str">
        <f t="shared" si="2"/>
        <v>pass</v>
      </c>
      <c r="K55">
        <f t="shared" si="3"/>
        <v>72</v>
      </c>
      <c r="L55" t="str">
        <f t="shared" si="4"/>
        <v>Good</v>
      </c>
      <c r="M55" t="str">
        <f t="shared" si="5"/>
        <v>Science</v>
      </c>
      <c r="N55" t="str">
        <f t="shared" si="6"/>
        <v>Math</v>
      </c>
      <c r="O55" s="4">
        <f t="shared" si="7"/>
        <v>6</v>
      </c>
    </row>
    <row r="56" spans="1:15" x14ac:dyDescent="0.25">
      <c r="A56" t="s">
        <v>114</v>
      </c>
      <c r="B56" t="s">
        <v>115</v>
      </c>
      <c r="C56" t="s">
        <v>9</v>
      </c>
      <c r="D56">
        <v>93</v>
      </c>
      <c r="E56">
        <v>87</v>
      </c>
      <c r="F56">
        <v>91</v>
      </c>
      <c r="G56">
        <v>271</v>
      </c>
      <c r="H56" s="3">
        <f t="shared" si="0"/>
        <v>90.333333333333329</v>
      </c>
      <c r="I56" s="3">
        <f t="shared" si="1"/>
        <v>90.333333333333329</v>
      </c>
      <c r="J56" t="str">
        <f t="shared" si="2"/>
        <v>pass</v>
      </c>
      <c r="K56">
        <f t="shared" si="3"/>
        <v>21</v>
      </c>
      <c r="L56" t="str">
        <f t="shared" si="4"/>
        <v>Very Good</v>
      </c>
      <c r="M56" t="str">
        <f t="shared" si="5"/>
        <v>Math</v>
      </c>
      <c r="N56" t="str">
        <f t="shared" si="6"/>
        <v>Science</v>
      </c>
      <c r="O56" s="4">
        <f t="shared" si="7"/>
        <v>6</v>
      </c>
    </row>
    <row r="57" spans="1:15" x14ac:dyDescent="0.25">
      <c r="A57" t="s">
        <v>116</v>
      </c>
      <c r="B57" t="s">
        <v>117</v>
      </c>
      <c r="C57" t="s">
        <v>9</v>
      </c>
      <c r="D57">
        <v>76</v>
      </c>
      <c r="E57">
        <v>73</v>
      </c>
      <c r="F57">
        <v>80</v>
      </c>
      <c r="G57">
        <v>229</v>
      </c>
      <c r="H57" s="3">
        <f t="shared" si="0"/>
        <v>76.333333333333329</v>
      </c>
      <c r="I57" s="3">
        <f t="shared" si="1"/>
        <v>76.333333333333329</v>
      </c>
      <c r="J57" t="str">
        <f t="shared" si="2"/>
        <v>pass</v>
      </c>
      <c r="K57">
        <f t="shared" si="3"/>
        <v>70</v>
      </c>
      <c r="L57" t="str">
        <f t="shared" si="4"/>
        <v>Good</v>
      </c>
      <c r="M57" t="str">
        <f t="shared" si="5"/>
        <v>English</v>
      </c>
      <c r="N57" t="str">
        <f t="shared" si="6"/>
        <v>Science</v>
      </c>
      <c r="O57" s="4">
        <f t="shared" si="7"/>
        <v>7</v>
      </c>
    </row>
    <row r="58" spans="1:15" x14ac:dyDescent="0.25">
      <c r="A58" t="s">
        <v>118</v>
      </c>
      <c r="B58" t="s">
        <v>119</v>
      </c>
      <c r="C58" t="s">
        <v>9</v>
      </c>
      <c r="D58">
        <v>85</v>
      </c>
      <c r="E58">
        <v>92</v>
      </c>
      <c r="F58">
        <v>88</v>
      </c>
      <c r="G58">
        <v>265</v>
      </c>
      <c r="H58" s="3">
        <f t="shared" si="0"/>
        <v>88.333333333333329</v>
      </c>
      <c r="I58" s="3">
        <f t="shared" si="1"/>
        <v>88.333333333333329</v>
      </c>
      <c r="J58" t="str">
        <f t="shared" si="2"/>
        <v>pass</v>
      </c>
      <c r="K58">
        <f t="shared" si="3"/>
        <v>35</v>
      </c>
      <c r="L58" t="str">
        <f t="shared" si="4"/>
        <v>Very Good</v>
      </c>
      <c r="M58" t="str">
        <f t="shared" si="5"/>
        <v>Science</v>
      </c>
      <c r="N58" t="str">
        <f t="shared" si="6"/>
        <v>Math</v>
      </c>
      <c r="O58" s="4">
        <f t="shared" si="7"/>
        <v>7</v>
      </c>
    </row>
    <row r="59" spans="1:15" x14ac:dyDescent="0.25">
      <c r="A59" t="s">
        <v>120</v>
      </c>
      <c r="B59" t="s">
        <v>121</v>
      </c>
      <c r="C59" t="s">
        <v>9</v>
      </c>
      <c r="D59">
        <v>68</v>
      </c>
      <c r="E59">
        <v>71</v>
      </c>
      <c r="F59">
        <v>76</v>
      </c>
      <c r="G59">
        <v>215</v>
      </c>
      <c r="H59" s="3">
        <f t="shared" si="0"/>
        <v>71.666666666666671</v>
      </c>
      <c r="I59" s="3">
        <f t="shared" si="1"/>
        <v>71.666666666666671</v>
      </c>
      <c r="J59" t="str">
        <f t="shared" si="2"/>
        <v>pass</v>
      </c>
      <c r="K59">
        <f t="shared" si="3"/>
        <v>85</v>
      </c>
      <c r="L59" t="str">
        <f t="shared" si="4"/>
        <v>Good</v>
      </c>
      <c r="M59" t="str">
        <f t="shared" si="5"/>
        <v>English</v>
      </c>
      <c r="N59" t="str">
        <f t="shared" si="6"/>
        <v>Math</v>
      </c>
      <c r="O59" s="4">
        <f t="shared" si="7"/>
        <v>8</v>
      </c>
    </row>
    <row r="60" spans="1:15" x14ac:dyDescent="0.25">
      <c r="A60" t="s">
        <v>122</v>
      </c>
      <c r="B60" t="s">
        <v>123</v>
      </c>
      <c r="C60" t="s">
        <v>9</v>
      </c>
      <c r="D60">
        <v>91</v>
      </c>
      <c r="E60">
        <v>89</v>
      </c>
      <c r="F60">
        <v>94</v>
      </c>
      <c r="G60">
        <v>274</v>
      </c>
      <c r="H60" s="3">
        <f t="shared" si="0"/>
        <v>91.333333333333329</v>
      </c>
      <c r="I60" s="3">
        <f t="shared" si="1"/>
        <v>91.333333333333329</v>
      </c>
      <c r="J60" t="str">
        <f t="shared" si="2"/>
        <v>pass</v>
      </c>
      <c r="K60">
        <f t="shared" si="3"/>
        <v>16</v>
      </c>
      <c r="L60" t="str">
        <f t="shared" si="4"/>
        <v>Very Good</v>
      </c>
      <c r="M60" t="str">
        <f t="shared" si="5"/>
        <v>English</v>
      </c>
      <c r="N60" t="str">
        <f t="shared" si="6"/>
        <v>Science</v>
      </c>
      <c r="O60" s="4">
        <f t="shared" si="7"/>
        <v>5</v>
      </c>
    </row>
    <row r="61" spans="1:15" x14ac:dyDescent="0.25">
      <c r="A61" t="s">
        <v>124</v>
      </c>
      <c r="B61" t="s">
        <v>125</v>
      </c>
      <c r="C61" t="s">
        <v>9</v>
      </c>
      <c r="D61">
        <v>80</v>
      </c>
      <c r="E61">
        <v>77</v>
      </c>
      <c r="F61">
        <v>72</v>
      </c>
      <c r="G61">
        <v>229</v>
      </c>
      <c r="H61" s="3">
        <f t="shared" si="0"/>
        <v>76.333333333333329</v>
      </c>
      <c r="I61" s="3">
        <f t="shared" si="1"/>
        <v>76.333333333333329</v>
      </c>
      <c r="J61" t="str">
        <f t="shared" si="2"/>
        <v>pass</v>
      </c>
      <c r="K61">
        <f t="shared" si="3"/>
        <v>70</v>
      </c>
      <c r="L61" t="str">
        <f t="shared" si="4"/>
        <v>Good</v>
      </c>
      <c r="M61" t="str">
        <f t="shared" si="5"/>
        <v>Math</v>
      </c>
      <c r="N61" t="str">
        <f t="shared" si="6"/>
        <v>English</v>
      </c>
      <c r="O61" s="4">
        <f t="shared" si="7"/>
        <v>8</v>
      </c>
    </row>
    <row r="62" spans="1:15" x14ac:dyDescent="0.25">
      <c r="A62" t="s">
        <v>126</v>
      </c>
      <c r="B62" t="s">
        <v>127</v>
      </c>
      <c r="C62" t="s">
        <v>9</v>
      </c>
      <c r="D62">
        <v>89</v>
      </c>
      <c r="E62">
        <v>93</v>
      </c>
      <c r="F62">
        <v>87</v>
      </c>
      <c r="G62">
        <v>269</v>
      </c>
      <c r="H62" s="3">
        <f t="shared" si="0"/>
        <v>89.666666666666657</v>
      </c>
      <c r="I62" s="3">
        <f t="shared" si="1"/>
        <v>89.666666666666671</v>
      </c>
      <c r="J62" t="str">
        <f t="shared" si="2"/>
        <v>pass</v>
      </c>
      <c r="K62">
        <f t="shared" si="3"/>
        <v>27</v>
      </c>
      <c r="L62" t="str">
        <f t="shared" si="4"/>
        <v>Very Good</v>
      </c>
      <c r="M62" t="str">
        <f t="shared" si="5"/>
        <v>Science</v>
      </c>
      <c r="N62" t="str">
        <f t="shared" si="6"/>
        <v>English</v>
      </c>
      <c r="O62" s="4">
        <f t="shared" si="7"/>
        <v>6</v>
      </c>
    </row>
    <row r="63" spans="1:15" x14ac:dyDescent="0.25">
      <c r="A63" t="s">
        <v>128</v>
      </c>
      <c r="B63" t="s">
        <v>129</v>
      </c>
      <c r="C63" t="s">
        <v>9</v>
      </c>
      <c r="D63">
        <v>74</v>
      </c>
      <c r="E63">
        <v>69</v>
      </c>
      <c r="F63">
        <v>81</v>
      </c>
      <c r="G63">
        <v>224</v>
      </c>
      <c r="H63" s="3">
        <f t="shared" si="0"/>
        <v>74.666666666666671</v>
      </c>
      <c r="I63" s="3">
        <f t="shared" si="1"/>
        <v>74.666666666666671</v>
      </c>
      <c r="J63" t="str">
        <f t="shared" si="2"/>
        <v>pass</v>
      </c>
      <c r="K63">
        <f t="shared" si="3"/>
        <v>74</v>
      </c>
      <c r="L63" t="str">
        <f t="shared" si="4"/>
        <v>Good</v>
      </c>
      <c r="M63" t="str">
        <f t="shared" si="5"/>
        <v>English</v>
      </c>
      <c r="N63" t="str">
        <f t="shared" si="6"/>
        <v>Science</v>
      </c>
      <c r="O63" s="4">
        <f t="shared" si="7"/>
        <v>12</v>
      </c>
    </row>
    <row r="64" spans="1:15" x14ac:dyDescent="0.25">
      <c r="A64" t="s">
        <v>130</v>
      </c>
      <c r="B64" t="s">
        <v>131</v>
      </c>
      <c r="C64" t="s">
        <v>9</v>
      </c>
      <c r="D64">
        <v>96</v>
      </c>
      <c r="E64">
        <v>94</v>
      </c>
      <c r="F64">
        <v>92</v>
      </c>
      <c r="G64">
        <v>282</v>
      </c>
      <c r="H64" s="3">
        <f t="shared" si="0"/>
        <v>94</v>
      </c>
      <c r="I64" s="3">
        <f t="shared" si="1"/>
        <v>94</v>
      </c>
      <c r="J64" t="str">
        <f t="shared" si="2"/>
        <v>pass</v>
      </c>
      <c r="K64">
        <f t="shared" si="3"/>
        <v>2</v>
      </c>
      <c r="L64" t="str">
        <f t="shared" si="4"/>
        <v>Very Good</v>
      </c>
      <c r="M64" t="str">
        <f t="shared" si="5"/>
        <v>Math</v>
      </c>
      <c r="N64" t="str">
        <f t="shared" si="6"/>
        <v>English</v>
      </c>
      <c r="O64" s="4">
        <f t="shared" si="7"/>
        <v>4</v>
      </c>
    </row>
    <row r="65" spans="1:15" x14ac:dyDescent="0.25">
      <c r="A65" t="s">
        <v>132</v>
      </c>
      <c r="B65" t="s">
        <v>133</v>
      </c>
      <c r="C65" t="s">
        <v>9</v>
      </c>
      <c r="D65">
        <v>65</v>
      </c>
      <c r="E65">
        <v>72</v>
      </c>
      <c r="F65">
        <v>67</v>
      </c>
      <c r="G65">
        <v>204</v>
      </c>
      <c r="H65" s="3">
        <f t="shared" si="0"/>
        <v>68</v>
      </c>
      <c r="I65" s="3">
        <f t="shared" si="1"/>
        <v>68</v>
      </c>
      <c r="J65" t="str">
        <f t="shared" si="2"/>
        <v>pass</v>
      </c>
      <c r="K65">
        <f t="shared" si="3"/>
        <v>96</v>
      </c>
      <c r="L65" t="str">
        <f t="shared" si="4"/>
        <v>Average</v>
      </c>
      <c r="M65" t="str">
        <f t="shared" si="5"/>
        <v>Science</v>
      </c>
      <c r="N65" t="str">
        <f t="shared" si="6"/>
        <v>Math</v>
      </c>
      <c r="O65" s="4">
        <f t="shared" si="7"/>
        <v>7</v>
      </c>
    </row>
    <row r="66" spans="1:15" x14ac:dyDescent="0.25">
      <c r="A66" t="s">
        <v>134</v>
      </c>
      <c r="B66" t="s">
        <v>135</v>
      </c>
      <c r="C66" t="s">
        <v>9</v>
      </c>
      <c r="D66">
        <v>83</v>
      </c>
      <c r="E66">
        <v>86</v>
      </c>
      <c r="F66">
        <v>90</v>
      </c>
      <c r="G66">
        <v>259</v>
      </c>
      <c r="H66" s="3">
        <f t="shared" si="0"/>
        <v>86.333333333333329</v>
      </c>
      <c r="I66" s="3">
        <f t="shared" si="1"/>
        <v>86.333333333333329</v>
      </c>
      <c r="J66" t="str">
        <f t="shared" si="2"/>
        <v>pass</v>
      </c>
      <c r="K66">
        <f t="shared" si="3"/>
        <v>45</v>
      </c>
      <c r="L66" t="str">
        <f t="shared" si="4"/>
        <v>Very Good</v>
      </c>
      <c r="M66" t="str">
        <f t="shared" si="5"/>
        <v>English</v>
      </c>
      <c r="N66" t="str">
        <f t="shared" si="6"/>
        <v>Math</v>
      </c>
      <c r="O66" s="4">
        <f t="shared" si="7"/>
        <v>7</v>
      </c>
    </row>
    <row r="67" spans="1:15" x14ac:dyDescent="0.25">
      <c r="A67" t="s">
        <v>136</v>
      </c>
      <c r="B67" t="s">
        <v>137</v>
      </c>
      <c r="C67" t="s">
        <v>9</v>
      </c>
      <c r="D67">
        <v>78</v>
      </c>
      <c r="E67">
        <v>75</v>
      </c>
      <c r="F67">
        <v>79</v>
      </c>
      <c r="G67">
        <v>232</v>
      </c>
      <c r="H67" s="3">
        <f t="shared" si="0"/>
        <v>77.333333333333329</v>
      </c>
      <c r="I67" s="3">
        <f t="shared" si="1"/>
        <v>77.333333333333329</v>
      </c>
      <c r="J67" t="str">
        <f t="shared" si="2"/>
        <v>pass</v>
      </c>
      <c r="K67">
        <f t="shared" si="3"/>
        <v>67</v>
      </c>
      <c r="L67" t="str">
        <f t="shared" si="4"/>
        <v>Good</v>
      </c>
      <c r="M67" t="str">
        <f t="shared" si="5"/>
        <v>English</v>
      </c>
      <c r="N67" t="str">
        <f t="shared" si="6"/>
        <v>Science</v>
      </c>
      <c r="O67" s="4">
        <f t="shared" si="7"/>
        <v>4</v>
      </c>
    </row>
    <row r="68" spans="1:15" x14ac:dyDescent="0.25">
      <c r="A68" t="s">
        <v>138</v>
      </c>
      <c r="B68" t="s">
        <v>139</v>
      </c>
      <c r="C68" t="s">
        <v>9</v>
      </c>
      <c r="D68">
        <v>92</v>
      </c>
      <c r="E68">
        <v>91</v>
      </c>
      <c r="F68">
        <v>88</v>
      </c>
      <c r="G68">
        <v>271</v>
      </c>
      <c r="H68" s="3">
        <f t="shared" ref="H68:H102" si="8">G68/300*100</f>
        <v>90.333333333333329</v>
      </c>
      <c r="I68" s="3">
        <f t="shared" ref="I68:I102" si="9">AVERAGE(D68:F68)</f>
        <v>90.333333333333329</v>
      </c>
      <c r="J68" t="str">
        <f t="shared" ref="J68:J102" si="10">IF(H68&gt;=35,"pass", "fail")</f>
        <v>pass</v>
      </c>
      <c r="K68">
        <f t="shared" ref="K68:K102" si="11">RANK(H68,$H$3:$H$102)</f>
        <v>21</v>
      </c>
      <c r="L68" t="str">
        <f t="shared" ref="L68:L102" si="12">IF(H68&gt;=80,"Very Good",IF(H68&gt;=70,"Good","Average"))</f>
        <v>Very Good</v>
      </c>
      <c r="M68" t="str">
        <f t="shared" ref="M68:M102" si="13">IF(MAX(D68:F68)=D68,"Math",IF(MAX(D68:F68)=E68,"Science","English"))</f>
        <v>Math</v>
      </c>
      <c r="N68" t="str">
        <f t="shared" ref="N68:N102" si="14">IF(MIN(D68:F68)=D68,"Math",IF(MIN(D68:F68)=E68,"Science","English"))</f>
        <v>English</v>
      </c>
      <c r="O68" s="4">
        <f t="shared" ref="O68:O102" si="15">MAX(D68:F68)-MIN(D68:F68)</f>
        <v>4</v>
      </c>
    </row>
    <row r="69" spans="1:15" x14ac:dyDescent="0.25">
      <c r="A69" t="s">
        <v>140</v>
      </c>
      <c r="B69" t="s">
        <v>141</v>
      </c>
      <c r="C69" t="s">
        <v>9</v>
      </c>
      <c r="D69">
        <v>71</v>
      </c>
      <c r="E69">
        <v>68</v>
      </c>
      <c r="F69">
        <v>74</v>
      </c>
      <c r="G69">
        <v>213</v>
      </c>
      <c r="H69" s="3">
        <f t="shared" si="8"/>
        <v>71</v>
      </c>
      <c r="I69" s="3">
        <f t="shared" si="9"/>
        <v>71</v>
      </c>
      <c r="J69" t="str">
        <f t="shared" si="10"/>
        <v>pass</v>
      </c>
      <c r="K69">
        <f t="shared" si="11"/>
        <v>89</v>
      </c>
      <c r="L69" t="str">
        <f t="shared" si="12"/>
        <v>Good</v>
      </c>
      <c r="M69" t="str">
        <f t="shared" si="13"/>
        <v>English</v>
      </c>
      <c r="N69" t="str">
        <f t="shared" si="14"/>
        <v>Science</v>
      </c>
      <c r="O69" s="4">
        <f t="shared" si="15"/>
        <v>6</v>
      </c>
    </row>
    <row r="70" spans="1:15" x14ac:dyDescent="0.25">
      <c r="A70" t="s">
        <v>142</v>
      </c>
      <c r="B70" t="s">
        <v>143</v>
      </c>
      <c r="C70" t="s">
        <v>9</v>
      </c>
      <c r="D70">
        <v>86</v>
      </c>
      <c r="E70">
        <v>84</v>
      </c>
      <c r="F70">
        <v>92</v>
      </c>
      <c r="G70">
        <v>262</v>
      </c>
      <c r="H70" s="3">
        <f t="shared" si="8"/>
        <v>87.333333333333329</v>
      </c>
      <c r="I70" s="3">
        <f t="shared" si="9"/>
        <v>87.333333333333329</v>
      </c>
      <c r="J70" t="str">
        <f t="shared" si="10"/>
        <v>pass</v>
      </c>
      <c r="K70">
        <f t="shared" si="11"/>
        <v>39</v>
      </c>
      <c r="L70" t="str">
        <f t="shared" si="12"/>
        <v>Very Good</v>
      </c>
      <c r="M70" t="str">
        <f t="shared" si="13"/>
        <v>English</v>
      </c>
      <c r="N70" t="str">
        <f t="shared" si="14"/>
        <v>Science</v>
      </c>
      <c r="O70" s="4">
        <f t="shared" si="15"/>
        <v>8</v>
      </c>
    </row>
    <row r="71" spans="1:15" x14ac:dyDescent="0.25">
      <c r="A71" t="s">
        <v>144</v>
      </c>
      <c r="B71" t="s">
        <v>145</v>
      </c>
      <c r="C71" t="s">
        <v>9</v>
      </c>
      <c r="D71">
        <v>90</v>
      </c>
      <c r="E71">
        <v>87</v>
      </c>
      <c r="F71">
        <v>85</v>
      </c>
      <c r="G71">
        <v>262</v>
      </c>
      <c r="H71" s="3">
        <f t="shared" si="8"/>
        <v>87.333333333333329</v>
      </c>
      <c r="I71" s="3">
        <f t="shared" si="9"/>
        <v>87.333333333333329</v>
      </c>
      <c r="J71" t="str">
        <f t="shared" si="10"/>
        <v>pass</v>
      </c>
      <c r="K71">
        <f t="shared" si="11"/>
        <v>39</v>
      </c>
      <c r="L71" t="str">
        <f t="shared" si="12"/>
        <v>Very Good</v>
      </c>
      <c r="M71" t="str">
        <f t="shared" si="13"/>
        <v>Math</v>
      </c>
      <c r="N71" t="str">
        <f t="shared" si="14"/>
        <v>English</v>
      </c>
      <c r="O71" s="4">
        <f t="shared" si="15"/>
        <v>5</v>
      </c>
    </row>
    <row r="72" spans="1:15" x14ac:dyDescent="0.25">
      <c r="A72" t="s">
        <v>146</v>
      </c>
      <c r="B72" t="s">
        <v>147</v>
      </c>
      <c r="C72" t="s">
        <v>9</v>
      </c>
      <c r="D72">
        <v>79</v>
      </c>
      <c r="E72">
        <v>82</v>
      </c>
      <c r="F72">
        <v>88</v>
      </c>
      <c r="G72">
        <v>249</v>
      </c>
      <c r="H72" s="3">
        <f t="shared" si="8"/>
        <v>83</v>
      </c>
      <c r="I72" s="3">
        <f t="shared" si="9"/>
        <v>83</v>
      </c>
      <c r="J72" t="str">
        <f t="shared" si="10"/>
        <v>pass</v>
      </c>
      <c r="K72">
        <f t="shared" si="11"/>
        <v>51</v>
      </c>
      <c r="L72" t="str">
        <f t="shared" si="12"/>
        <v>Very Good</v>
      </c>
      <c r="M72" t="str">
        <f t="shared" si="13"/>
        <v>English</v>
      </c>
      <c r="N72" t="str">
        <f t="shared" si="14"/>
        <v>Math</v>
      </c>
      <c r="O72" s="4">
        <f t="shared" si="15"/>
        <v>9</v>
      </c>
    </row>
    <row r="73" spans="1:15" x14ac:dyDescent="0.25">
      <c r="A73" t="s">
        <v>148</v>
      </c>
      <c r="B73" t="s">
        <v>149</v>
      </c>
      <c r="C73" t="s">
        <v>9</v>
      </c>
      <c r="D73">
        <v>68</v>
      </c>
      <c r="E73">
        <v>76</v>
      </c>
      <c r="F73">
        <v>70</v>
      </c>
      <c r="G73">
        <v>214</v>
      </c>
      <c r="H73" s="3">
        <f t="shared" si="8"/>
        <v>71.333333333333343</v>
      </c>
      <c r="I73" s="3">
        <f t="shared" si="9"/>
        <v>71.333333333333329</v>
      </c>
      <c r="J73" t="str">
        <f t="shared" si="10"/>
        <v>pass</v>
      </c>
      <c r="K73">
        <f t="shared" si="11"/>
        <v>87</v>
      </c>
      <c r="L73" t="str">
        <f t="shared" si="12"/>
        <v>Good</v>
      </c>
      <c r="M73" t="str">
        <f t="shared" si="13"/>
        <v>Science</v>
      </c>
      <c r="N73" t="str">
        <f t="shared" si="14"/>
        <v>Math</v>
      </c>
      <c r="O73" s="4">
        <f t="shared" si="15"/>
        <v>8</v>
      </c>
    </row>
    <row r="74" spans="1:15" x14ac:dyDescent="0.25">
      <c r="A74" t="s">
        <v>150</v>
      </c>
      <c r="B74" t="s">
        <v>151</v>
      </c>
      <c r="C74" t="s">
        <v>9</v>
      </c>
      <c r="D74">
        <v>94</v>
      </c>
      <c r="E74">
        <v>89</v>
      </c>
      <c r="F74">
        <v>96</v>
      </c>
      <c r="G74">
        <v>279</v>
      </c>
      <c r="H74" s="3">
        <f t="shared" si="8"/>
        <v>93</v>
      </c>
      <c r="I74" s="3">
        <f t="shared" si="9"/>
        <v>93</v>
      </c>
      <c r="J74" t="str">
        <f t="shared" si="10"/>
        <v>pass</v>
      </c>
      <c r="K74">
        <f t="shared" si="11"/>
        <v>5</v>
      </c>
      <c r="L74" t="str">
        <f t="shared" si="12"/>
        <v>Very Good</v>
      </c>
      <c r="M74" t="str">
        <f t="shared" si="13"/>
        <v>English</v>
      </c>
      <c r="N74" t="str">
        <f t="shared" si="14"/>
        <v>Science</v>
      </c>
      <c r="O74" s="4">
        <f t="shared" si="15"/>
        <v>7</v>
      </c>
    </row>
    <row r="75" spans="1:15" x14ac:dyDescent="0.25">
      <c r="A75" t="s">
        <v>152</v>
      </c>
      <c r="B75" t="s">
        <v>153</v>
      </c>
      <c r="C75" t="s">
        <v>9</v>
      </c>
      <c r="D75">
        <v>75</v>
      </c>
      <c r="E75">
        <v>81</v>
      </c>
      <c r="F75">
        <v>77</v>
      </c>
      <c r="G75">
        <v>233</v>
      </c>
      <c r="H75" s="3">
        <f t="shared" si="8"/>
        <v>77.666666666666657</v>
      </c>
      <c r="I75" s="3">
        <f t="shared" si="9"/>
        <v>77.666666666666671</v>
      </c>
      <c r="J75" t="str">
        <f t="shared" si="10"/>
        <v>pass</v>
      </c>
      <c r="K75">
        <f t="shared" si="11"/>
        <v>65</v>
      </c>
      <c r="L75" t="str">
        <f t="shared" si="12"/>
        <v>Good</v>
      </c>
      <c r="M75" t="str">
        <f t="shared" si="13"/>
        <v>Science</v>
      </c>
      <c r="N75" t="str">
        <f t="shared" si="14"/>
        <v>Math</v>
      </c>
      <c r="O75" s="4">
        <f t="shared" si="15"/>
        <v>6</v>
      </c>
    </row>
    <row r="76" spans="1:15" x14ac:dyDescent="0.25">
      <c r="A76" t="s">
        <v>154</v>
      </c>
      <c r="B76" t="s">
        <v>155</v>
      </c>
      <c r="C76" t="s">
        <v>9</v>
      </c>
      <c r="D76">
        <v>88</v>
      </c>
      <c r="E76">
        <v>93</v>
      </c>
      <c r="F76">
        <v>90</v>
      </c>
      <c r="G76">
        <v>271</v>
      </c>
      <c r="H76" s="3">
        <f t="shared" si="8"/>
        <v>90.333333333333329</v>
      </c>
      <c r="I76" s="3">
        <f t="shared" si="9"/>
        <v>90.333333333333329</v>
      </c>
      <c r="J76" t="str">
        <f t="shared" si="10"/>
        <v>pass</v>
      </c>
      <c r="K76">
        <f t="shared" si="11"/>
        <v>21</v>
      </c>
      <c r="L76" t="str">
        <f t="shared" si="12"/>
        <v>Very Good</v>
      </c>
      <c r="M76" t="str">
        <f t="shared" si="13"/>
        <v>Science</v>
      </c>
      <c r="N76" t="str">
        <f t="shared" si="14"/>
        <v>Math</v>
      </c>
      <c r="O76" s="4">
        <f t="shared" si="15"/>
        <v>5</v>
      </c>
    </row>
    <row r="77" spans="1:15" x14ac:dyDescent="0.25">
      <c r="A77" t="s">
        <v>156</v>
      </c>
      <c r="B77" t="s">
        <v>157</v>
      </c>
      <c r="C77" t="s">
        <v>9</v>
      </c>
      <c r="D77">
        <v>82</v>
      </c>
      <c r="E77">
        <v>79</v>
      </c>
      <c r="F77">
        <v>85</v>
      </c>
      <c r="G77">
        <v>246</v>
      </c>
      <c r="H77" s="3">
        <f t="shared" si="8"/>
        <v>82</v>
      </c>
      <c r="I77" s="3">
        <f t="shared" si="9"/>
        <v>82</v>
      </c>
      <c r="J77" t="str">
        <f t="shared" si="10"/>
        <v>pass</v>
      </c>
      <c r="K77">
        <f t="shared" si="11"/>
        <v>54</v>
      </c>
      <c r="L77" t="str">
        <f t="shared" si="12"/>
        <v>Very Good</v>
      </c>
      <c r="M77" t="str">
        <f t="shared" si="13"/>
        <v>English</v>
      </c>
      <c r="N77" t="str">
        <f t="shared" si="14"/>
        <v>Science</v>
      </c>
      <c r="O77" s="4">
        <f t="shared" si="15"/>
        <v>6</v>
      </c>
    </row>
    <row r="78" spans="1:15" x14ac:dyDescent="0.25">
      <c r="A78" t="s">
        <v>158</v>
      </c>
      <c r="B78" t="s">
        <v>159</v>
      </c>
      <c r="C78" t="s">
        <v>9</v>
      </c>
      <c r="D78">
        <v>91</v>
      </c>
      <c r="E78">
        <v>95</v>
      </c>
      <c r="F78">
        <v>89</v>
      </c>
      <c r="G78">
        <v>275</v>
      </c>
      <c r="H78" s="3">
        <f t="shared" si="8"/>
        <v>91.666666666666657</v>
      </c>
      <c r="I78" s="3">
        <f t="shared" si="9"/>
        <v>91.666666666666671</v>
      </c>
      <c r="J78" t="str">
        <f t="shared" si="10"/>
        <v>pass</v>
      </c>
      <c r="K78">
        <f t="shared" si="11"/>
        <v>13</v>
      </c>
      <c r="L78" t="str">
        <f t="shared" si="12"/>
        <v>Very Good</v>
      </c>
      <c r="M78" t="str">
        <f t="shared" si="13"/>
        <v>Science</v>
      </c>
      <c r="N78" t="str">
        <f t="shared" si="14"/>
        <v>English</v>
      </c>
      <c r="O78" s="4">
        <f t="shared" si="15"/>
        <v>6</v>
      </c>
    </row>
    <row r="79" spans="1:15" x14ac:dyDescent="0.25">
      <c r="A79" t="s">
        <v>160</v>
      </c>
      <c r="B79" t="s">
        <v>161</v>
      </c>
      <c r="C79" t="s">
        <v>9</v>
      </c>
      <c r="D79">
        <v>70</v>
      </c>
      <c r="E79">
        <v>73</v>
      </c>
      <c r="F79">
        <v>68</v>
      </c>
      <c r="G79">
        <v>211</v>
      </c>
      <c r="H79" s="3">
        <f t="shared" si="8"/>
        <v>70.333333333333343</v>
      </c>
      <c r="I79" s="3">
        <f t="shared" si="9"/>
        <v>70.333333333333329</v>
      </c>
      <c r="J79" t="str">
        <f t="shared" si="10"/>
        <v>pass</v>
      </c>
      <c r="K79">
        <f t="shared" si="11"/>
        <v>91</v>
      </c>
      <c r="L79" t="str">
        <f t="shared" si="12"/>
        <v>Good</v>
      </c>
      <c r="M79" t="str">
        <f t="shared" si="13"/>
        <v>Science</v>
      </c>
      <c r="N79" t="str">
        <f t="shared" si="14"/>
        <v>English</v>
      </c>
      <c r="O79" s="4">
        <f t="shared" si="15"/>
        <v>5</v>
      </c>
    </row>
    <row r="80" spans="1:15" x14ac:dyDescent="0.25">
      <c r="A80" t="s">
        <v>162</v>
      </c>
      <c r="B80" t="s">
        <v>163</v>
      </c>
      <c r="C80" t="s">
        <v>9</v>
      </c>
      <c r="D80">
        <v>85</v>
      </c>
      <c r="E80">
        <v>88</v>
      </c>
      <c r="F80">
        <v>94</v>
      </c>
      <c r="G80">
        <v>267</v>
      </c>
      <c r="H80" s="3">
        <f t="shared" si="8"/>
        <v>89</v>
      </c>
      <c r="I80" s="3">
        <f t="shared" si="9"/>
        <v>89</v>
      </c>
      <c r="J80" t="str">
        <f t="shared" si="10"/>
        <v>pass</v>
      </c>
      <c r="K80">
        <f t="shared" si="11"/>
        <v>30</v>
      </c>
      <c r="L80" t="str">
        <f t="shared" si="12"/>
        <v>Very Good</v>
      </c>
      <c r="M80" t="str">
        <f t="shared" si="13"/>
        <v>English</v>
      </c>
      <c r="N80" t="str">
        <f t="shared" si="14"/>
        <v>Math</v>
      </c>
      <c r="O80" s="4">
        <f t="shared" si="15"/>
        <v>9</v>
      </c>
    </row>
    <row r="81" spans="1:15" x14ac:dyDescent="0.25">
      <c r="A81" t="s">
        <v>164</v>
      </c>
      <c r="B81" t="s">
        <v>165</v>
      </c>
      <c r="C81" t="s">
        <v>9</v>
      </c>
      <c r="D81">
        <v>77</v>
      </c>
      <c r="E81">
        <v>74</v>
      </c>
      <c r="F81">
        <v>80</v>
      </c>
      <c r="G81">
        <v>231</v>
      </c>
      <c r="H81" s="3">
        <f t="shared" si="8"/>
        <v>77</v>
      </c>
      <c r="I81" s="3">
        <f t="shared" si="9"/>
        <v>77</v>
      </c>
      <c r="J81" t="str">
        <f t="shared" si="10"/>
        <v>pass</v>
      </c>
      <c r="K81">
        <f t="shared" si="11"/>
        <v>69</v>
      </c>
      <c r="L81" t="str">
        <f t="shared" si="12"/>
        <v>Good</v>
      </c>
      <c r="M81" t="str">
        <f t="shared" si="13"/>
        <v>English</v>
      </c>
      <c r="N81" t="str">
        <f t="shared" si="14"/>
        <v>Science</v>
      </c>
      <c r="O81" s="4">
        <f t="shared" si="15"/>
        <v>6</v>
      </c>
    </row>
    <row r="82" spans="1:15" x14ac:dyDescent="0.25">
      <c r="A82" t="s">
        <v>166</v>
      </c>
      <c r="B82" t="s">
        <v>167</v>
      </c>
      <c r="C82" t="s">
        <v>9</v>
      </c>
      <c r="D82">
        <v>93</v>
      </c>
      <c r="E82">
        <v>90</v>
      </c>
      <c r="F82">
        <v>92</v>
      </c>
      <c r="G82">
        <v>275</v>
      </c>
      <c r="H82" s="3">
        <f t="shared" si="8"/>
        <v>91.666666666666657</v>
      </c>
      <c r="I82" s="3">
        <f t="shared" si="9"/>
        <v>91.666666666666671</v>
      </c>
      <c r="J82" t="str">
        <f t="shared" si="10"/>
        <v>pass</v>
      </c>
      <c r="K82">
        <f t="shared" si="11"/>
        <v>13</v>
      </c>
      <c r="L82" t="str">
        <f t="shared" si="12"/>
        <v>Very Good</v>
      </c>
      <c r="M82" t="str">
        <f t="shared" si="13"/>
        <v>Math</v>
      </c>
      <c r="N82" t="str">
        <f t="shared" si="14"/>
        <v>Science</v>
      </c>
      <c r="O82" s="4">
        <f t="shared" si="15"/>
        <v>3</v>
      </c>
    </row>
    <row r="83" spans="1:15" x14ac:dyDescent="0.25">
      <c r="A83" t="s">
        <v>168</v>
      </c>
      <c r="B83" t="s">
        <v>169</v>
      </c>
      <c r="C83" t="s">
        <v>9</v>
      </c>
      <c r="D83">
        <v>66</v>
      </c>
      <c r="E83">
        <v>69</v>
      </c>
      <c r="F83">
        <v>75</v>
      </c>
      <c r="G83">
        <v>210</v>
      </c>
      <c r="H83" s="3">
        <f t="shared" si="8"/>
        <v>70</v>
      </c>
      <c r="I83" s="3">
        <f t="shared" si="9"/>
        <v>70</v>
      </c>
      <c r="J83" t="str">
        <f t="shared" si="10"/>
        <v>pass</v>
      </c>
      <c r="K83">
        <f t="shared" si="11"/>
        <v>94</v>
      </c>
      <c r="L83" t="str">
        <f t="shared" si="12"/>
        <v>Good</v>
      </c>
      <c r="M83" t="str">
        <f t="shared" si="13"/>
        <v>English</v>
      </c>
      <c r="N83" t="str">
        <f t="shared" si="14"/>
        <v>Math</v>
      </c>
      <c r="O83" s="4">
        <f t="shared" si="15"/>
        <v>9</v>
      </c>
    </row>
    <row r="84" spans="1:15" x14ac:dyDescent="0.25">
      <c r="A84" t="s">
        <v>170</v>
      </c>
      <c r="B84" t="s">
        <v>171</v>
      </c>
      <c r="C84" t="s">
        <v>9</v>
      </c>
      <c r="D84">
        <v>89</v>
      </c>
      <c r="E84">
        <v>87</v>
      </c>
      <c r="F84">
        <v>91</v>
      </c>
      <c r="G84">
        <v>267</v>
      </c>
      <c r="H84" s="3">
        <f t="shared" si="8"/>
        <v>89</v>
      </c>
      <c r="I84" s="3">
        <f t="shared" si="9"/>
        <v>89</v>
      </c>
      <c r="J84" t="str">
        <f t="shared" si="10"/>
        <v>pass</v>
      </c>
      <c r="K84">
        <f t="shared" si="11"/>
        <v>30</v>
      </c>
      <c r="L84" t="str">
        <f t="shared" si="12"/>
        <v>Very Good</v>
      </c>
      <c r="M84" t="str">
        <f t="shared" si="13"/>
        <v>English</v>
      </c>
      <c r="N84" t="str">
        <f t="shared" si="14"/>
        <v>Science</v>
      </c>
      <c r="O84" s="4">
        <f t="shared" si="15"/>
        <v>4</v>
      </c>
    </row>
    <row r="85" spans="1:15" x14ac:dyDescent="0.25">
      <c r="A85" t="s">
        <v>172</v>
      </c>
      <c r="B85" t="s">
        <v>173</v>
      </c>
      <c r="C85" t="s">
        <v>9</v>
      </c>
      <c r="D85">
        <v>81</v>
      </c>
      <c r="E85">
        <v>83</v>
      </c>
      <c r="F85">
        <v>78</v>
      </c>
      <c r="G85">
        <v>242</v>
      </c>
      <c r="H85" s="3">
        <f t="shared" si="8"/>
        <v>80.666666666666657</v>
      </c>
      <c r="I85" s="3">
        <f t="shared" si="9"/>
        <v>80.666666666666671</v>
      </c>
      <c r="J85" t="str">
        <f t="shared" si="10"/>
        <v>pass</v>
      </c>
      <c r="K85">
        <f t="shared" si="11"/>
        <v>60</v>
      </c>
      <c r="L85" t="str">
        <f t="shared" si="12"/>
        <v>Very Good</v>
      </c>
      <c r="M85" t="str">
        <f t="shared" si="13"/>
        <v>Science</v>
      </c>
      <c r="N85" t="str">
        <f t="shared" si="14"/>
        <v>English</v>
      </c>
      <c r="O85" s="4">
        <f t="shared" si="15"/>
        <v>5</v>
      </c>
    </row>
    <row r="86" spans="1:15" x14ac:dyDescent="0.25">
      <c r="A86" t="s">
        <v>174</v>
      </c>
      <c r="B86" t="s">
        <v>175</v>
      </c>
      <c r="C86" t="s">
        <v>9</v>
      </c>
      <c r="D86">
        <v>95</v>
      </c>
      <c r="E86">
        <v>92</v>
      </c>
      <c r="F86">
        <v>90</v>
      </c>
      <c r="G86">
        <v>277</v>
      </c>
      <c r="H86" s="3">
        <f t="shared" si="8"/>
        <v>92.333333333333329</v>
      </c>
      <c r="I86" s="3">
        <f t="shared" si="9"/>
        <v>92.333333333333329</v>
      </c>
      <c r="J86" t="str">
        <f t="shared" si="10"/>
        <v>pass</v>
      </c>
      <c r="K86">
        <f t="shared" si="11"/>
        <v>9</v>
      </c>
      <c r="L86" t="str">
        <f t="shared" si="12"/>
        <v>Very Good</v>
      </c>
      <c r="M86" t="str">
        <f t="shared" si="13"/>
        <v>Math</v>
      </c>
      <c r="N86" t="str">
        <f t="shared" si="14"/>
        <v>English</v>
      </c>
      <c r="O86" s="4">
        <f t="shared" si="15"/>
        <v>5</v>
      </c>
    </row>
    <row r="87" spans="1:15" x14ac:dyDescent="0.25">
      <c r="A87" t="s">
        <v>176</v>
      </c>
      <c r="B87" t="s">
        <v>177</v>
      </c>
      <c r="C87" t="s">
        <v>9</v>
      </c>
      <c r="D87">
        <v>73</v>
      </c>
      <c r="E87">
        <v>71</v>
      </c>
      <c r="F87">
        <v>79</v>
      </c>
      <c r="G87">
        <v>223</v>
      </c>
      <c r="H87" s="3">
        <f t="shared" si="8"/>
        <v>74.333333333333329</v>
      </c>
      <c r="I87" s="3">
        <f t="shared" si="9"/>
        <v>74.333333333333329</v>
      </c>
      <c r="J87" t="str">
        <f t="shared" si="10"/>
        <v>pass</v>
      </c>
      <c r="K87">
        <f t="shared" si="11"/>
        <v>76</v>
      </c>
      <c r="L87" t="str">
        <f t="shared" si="12"/>
        <v>Good</v>
      </c>
      <c r="M87" t="str">
        <f t="shared" si="13"/>
        <v>English</v>
      </c>
      <c r="N87" t="str">
        <f t="shared" si="14"/>
        <v>Science</v>
      </c>
      <c r="O87" s="4">
        <f t="shared" si="15"/>
        <v>8</v>
      </c>
    </row>
    <row r="88" spans="1:15" x14ac:dyDescent="0.25">
      <c r="A88" t="s">
        <v>178</v>
      </c>
      <c r="B88" t="s">
        <v>179</v>
      </c>
      <c r="C88" t="s">
        <v>9</v>
      </c>
      <c r="D88">
        <v>87</v>
      </c>
      <c r="E88">
        <v>90</v>
      </c>
      <c r="F88">
        <v>93</v>
      </c>
      <c r="G88">
        <v>270</v>
      </c>
      <c r="H88" s="3">
        <f t="shared" si="8"/>
        <v>90</v>
      </c>
      <c r="I88" s="3">
        <f t="shared" si="9"/>
        <v>90</v>
      </c>
      <c r="J88" t="str">
        <f t="shared" si="10"/>
        <v>pass</v>
      </c>
      <c r="K88">
        <f t="shared" si="11"/>
        <v>26</v>
      </c>
      <c r="L88" t="str">
        <f t="shared" si="12"/>
        <v>Very Good</v>
      </c>
      <c r="M88" t="str">
        <f t="shared" si="13"/>
        <v>English</v>
      </c>
      <c r="N88" t="str">
        <f t="shared" si="14"/>
        <v>Math</v>
      </c>
      <c r="O88" s="4">
        <f t="shared" si="15"/>
        <v>6</v>
      </c>
    </row>
    <row r="89" spans="1:15" x14ac:dyDescent="0.25">
      <c r="A89" t="s">
        <v>180</v>
      </c>
      <c r="B89" t="s">
        <v>181</v>
      </c>
      <c r="C89" t="s">
        <v>9</v>
      </c>
      <c r="D89">
        <v>76</v>
      </c>
      <c r="E89">
        <v>82</v>
      </c>
      <c r="F89">
        <v>74</v>
      </c>
      <c r="G89">
        <v>232</v>
      </c>
      <c r="H89" s="3">
        <f t="shared" si="8"/>
        <v>77.333333333333329</v>
      </c>
      <c r="I89" s="3">
        <f t="shared" si="9"/>
        <v>77.333333333333329</v>
      </c>
      <c r="J89" t="str">
        <f t="shared" si="10"/>
        <v>pass</v>
      </c>
      <c r="K89">
        <f t="shared" si="11"/>
        <v>67</v>
      </c>
      <c r="L89" t="str">
        <f t="shared" si="12"/>
        <v>Good</v>
      </c>
      <c r="M89" t="str">
        <f t="shared" si="13"/>
        <v>Science</v>
      </c>
      <c r="N89" t="str">
        <f t="shared" si="14"/>
        <v>English</v>
      </c>
      <c r="O89" s="4">
        <f t="shared" si="15"/>
        <v>8</v>
      </c>
    </row>
    <row r="90" spans="1:15" x14ac:dyDescent="0.25">
      <c r="A90" t="s">
        <v>182</v>
      </c>
      <c r="B90" t="s">
        <v>183</v>
      </c>
      <c r="C90" t="s">
        <v>9</v>
      </c>
      <c r="D90">
        <v>90</v>
      </c>
      <c r="E90">
        <v>94</v>
      </c>
      <c r="F90">
        <v>88</v>
      </c>
      <c r="G90">
        <v>272</v>
      </c>
      <c r="H90" s="3">
        <f t="shared" si="8"/>
        <v>90.666666666666657</v>
      </c>
      <c r="I90" s="3">
        <f t="shared" si="9"/>
        <v>90.666666666666671</v>
      </c>
      <c r="J90" t="str">
        <f t="shared" si="10"/>
        <v>pass</v>
      </c>
      <c r="K90">
        <f t="shared" si="11"/>
        <v>18</v>
      </c>
      <c r="L90" t="str">
        <f t="shared" si="12"/>
        <v>Very Good</v>
      </c>
      <c r="M90" t="str">
        <f t="shared" si="13"/>
        <v>Science</v>
      </c>
      <c r="N90" t="str">
        <f t="shared" si="14"/>
        <v>English</v>
      </c>
      <c r="O90" s="4">
        <f t="shared" si="15"/>
        <v>6</v>
      </c>
    </row>
    <row r="91" spans="1:15" x14ac:dyDescent="0.25">
      <c r="A91" t="s">
        <v>184</v>
      </c>
      <c r="B91" t="s">
        <v>185</v>
      </c>
      <c r="C91" t="s">
        <v>9</v>
      </c>
      <c r="D91">
        <v>69</v>
      </c>
      <c r="E91">
        <v>77</v>
      </c>
      <c r="F91">
        <v>72</v>
      </c>
      <c r="G91">
        <v>218</v>
      </c>
      <c r="H91" s="3">
        <f t="shared" si="8"/>
        <v>72.666666666666671</v>
      </c>
      <c r="I91" s="3">
        <f t="shared" si="9"/>
        <v>72.666666666666671</v>
      </c>
      <c r="J91" t="str">
        <f t="shared" si="10"/>
        <v>pass</v>
      </c>
      <c r="K91">
        <f t="shared" si="11"/>
        <v>80</v>
      </c>
      <c r="L91" t="str">
        <f t="shared" si="12"/>
        <v>Good</v>
      </c>
      <c r="M91" t="str">
        <f t="shared" si="13"/>
        <v>Science</v>
      </c>
      <c r="N91" t="str">
        <f t="shared" si="14"/>
        <v>Math</v>
      </c>
      <c r="O91" s="4">
        <f t="shared" si="15"/>
        <v>8</v>
      </c>
    </row>
    <row r="92" spans="1:15" x14ac:dyDescent="0.25">
      <c r="A92" t="s">
        <v>186</v>
      </c>
      <c r="B92" t="s">
        <v>187</v>
      </c>
      <c r="C92" t="s">
        <v>9</v>
      </c>
      <c r="D92">
        <v>92</v>
      </c>
      <c r="E92">
        <v>89</v>
      </c>
      <c r="F92">
        <v>95</v>
      </c>
      <c r="G92">
        <v>276</v>
      </c>
      <c r="H92" s="3">
        <f t="shared" si="8"/>
        <v>92</v>
      </c>
      <c r="I92" s="3">
        <f t="shared" si="9"/>
        <v>92</v>
      </c>
      <c r="J92" t="str">
        <f t="shared" si="10"/>
        <v>pass</v>
      </c>
      <c r="K92">
        <f t="shared" si="11"/>
        <v>11</v>
      </c>
      <c r="L92" t="str">
        <f t="shared" si="12"/>
        <v>Very Good</v>
      </c>
      <c r="M92" t="str">
        <f t="shared" si="13"/>
        <v>English</v>
      </c>
      <c r="N92" t="str">
        <f t="shared" si="14"/>
        <v>Science</v>
      </c>
      <c r="O92" s="4">
        <f t="shared" si="15"/>
        <v>6</v>
      </c>
    </row>
    <row r="93" spans="1:15" x14ac:dyDescent="0.25">
      <c r="A93" t="s">
        <v>188</v>
      </c>
      <c r="B93" t="s">
        <v>189</v>
      </c>
      <c r="C93" t="s">
        <v>9</v>
      </c>
      <c r="D93">
        <v>80</v>
      </c>
      <c r="E93">
        <v>76</v>
      </c>
      <c r="F93">
        <v>83</v>
      </c>
      <c r="G93">
        <v>239</v>
      </c>
      <c r="H93" s="3">
        <f t="shared" si="8"/>
        <v>79.666666666666657</v>
      </c>
      <c r="I93" s="3">
        <f t="shared" si="9"/>
        <v>79.666666666666671</v>
      </c>
      <c r="J93" t="str">
        <f t="shared" si="10"/>
        <v>pass</v>
      </c>
      <c r="K93">
        <f t="shared" si="11"/>
        <v>63</v>
      </c>
      <c r="L93" t="str">
        <f t="shared" si="12"/>
        <v>Good</v>
      </c>
      <c r="M93" t="str">
        <f t="shared" si="13"/>
        <v>English</v>
      </c>
      <c r="N93" t="str">
        <f t="shared" si="14"/>
        <v>Science</v>
      </c>
      <c r="O93" s="4">
        <f t="shared" si="15"/>
        <v>7</v>
      </c>
    </row>
    <row r="94" spans="1:15" x14ac:dyDescent="0.25">
      <c r="A94" t="s">
        <v>190</v>
      </c>
      <c r="B94" t="s">
        <v>191</v>
      </c>
      <c r="C94" t="s">
        <v>9</v>
      </c>
      <c r="D94">
        <v>86</v>
      </c>
      <c r="E94">
        <v>91</v>
      </c>
      <c r="F94">
        <v>89</v>
      </c>
      <c r="G94">
        <v>266</v>
      </c>
      <c r="H94" s="3">
        <f t="shared" si="8"/>
        <v>88.666666666666671</v>
      </c>
      <c r="I94" s="3">
        <f t="shared" si="9"/>
        <v>88.666666666666671</v>
      </c>
      <c r="J94" t="str">
        <f t="shared" si="10"/>
        <v>pass</v>
      </c>
      <c r="K94">
        <f t="shared" si="11"/>
        <v>33</v>
      </c>
      <c r="L94" t="str">
        <f t="shared" si="12"/>
        <v>Very Good</v>
      </c>
      <c r="M94" t="str">
        <f t="shared" si="13"/>
        <v>Science</v>
      </c>
      <c r="N94" t="str">
        <f t="shared" si="14"/>
        <v>Math</v>
      </c>
      <c r="O94" s="4">
        <f t="shared" si="15"/>
        <v>5</v>
      </c>
    </row>
    <row r="95" spans="1:15" x14ac:dyDescent="0.25">
      <c r="A95" t="s">
        <v>192</v>
      </c>
      <c r="B95" t="s">
        <v>193</v>
      </c>
      <c r="C95" t="s">
        <v>9</v>
      </c>
      <c r="D95">
        <v>74</v>
      </c>
      <c r="E95">
        <v>68</v>
      </c>
      <c r="F95">
        <v>76</v>
      </c>
      <c r="G95">
        <v>218</v>
      </c>
      <c r="H95" s="3">
        <f t="shared" si="8"/>
        <v>72.666666666666671</v>
      </c>
      <c r="I95" s="3">
        <f t="shared" si="9"/>
        <v>72.666666666666671</v>
      </c>
      <c r="J95" t="str">
        <f t="shared" si="10"/>
        <v>pass</v>
      </c>
      <c r="K95">
        <f t="shared" si="11"/>
        <v>80</v>
      </c>
      <c r="L95" t="str">
        <f t="shared" si="12"/>
        <v>Good</v>
      </c>
      <c r="M95" t="str">
        <f t="shared" si="13"/>
        <v>English</v>
      </c>
      <c r="N95" t="str">
        <f t="shared" si="14"/>
        <v>Science</v>
      </c>
      <c r="O95" s="4">
        <f t="shared" si="15"/>
        <v>8</v>
      </c>
    </row>
    <row r="96" spans="1:15" x14ac:dyDescent="0.25">
      <c r="A96" t="s">
        <v>194</v>
      </c>
      <c r="B96" t="s">
        <v>195</v>
      </c>
      <c r="C96" t="s">
        <v>9</v>
      </c>
      <c r="D96">
        <v>94</v>
      </c>
      <c r="E96">
        <v>93</v>
      </c>
      <c r="F96">
        <v>91</v>
      </c>
      <c r="G96">
        <v>278</v>
      </c>
      <c r="H96" s="3">
        <f t="shared" si="8"/>
        <v>92.666666666666657</v>
      </c>
      <c r="I96" s="3">
        <f t="shared" si="9"/>
        <v>92.666666666666671</v>
      </c>
      <c r="J96" t="str">
        <f t="shared" si="10"/>
        <v>pass</v>
      </c>
      <c r="K96">
        <f t="shared" si="11"/>
        <v>7</v>
      </c>
      <c r="L96" t="str">
        <f t="shared" si="12"/>
        <v>Very Good</v>
      </c>
      <c r="M96" t="str">
        <f t="shared" si="13"/>
        <v>Math</v>
      </c>
      <c r="N96" t="str">
        <f t="shared" si="14"/>
        <v>English</v>
      </c>
      <c r="O96" s="4">
        <f t="shared" si="15"/>
        <v>3</v>
      </c>
    </row>
    <row r="97" spans="1:15" x14ac:dyDescent="0.25">
      <c r="A97" t="s">
        <v>196</v>
      </c>
      <c r="B97" t="s">
        <v>197</v>
      </c>
      <c r="C97" t="s">
        <v>9</v>
      </c>
      <c r="D97">
        <v>78</v>
      </c>
      <c r="E97">
        <v>85</v>
      </c>
      <c r="F97">
        <v>80</v>
      </c>
      <c r="G97">
        <v>243</v>
      </c>
      <c r="H97" s="3">
        <f t="shared" si="8"/>
        <v>81</v>
      </c>
      <c r="I97" s="3">
        <f t="shared" si="9"/>
        <v>81</v>
      </c>
      <c r="J97" t="str">
        <f t="shared" si="10"/>
        <v>pass</v>
      </c>
      <c r="K97">
        <f t="shared" si="11"/>
        <v>59</v>
      </c>
      <c r="L97" t="str">
        <f t="shared" si="12"/>
        <v>Very Good</v>
      </c>
      <c r="M97" t="str">
        <f t="shared" si="13"/>
        <v>Science</v>
      </c>
      <c r="N97" t="str">
        <f t="shared" si="14"/>
        <v>Math</v>
      </c>
      <c r="O97" s="4">
        <f t="shared" si="15"/>
        <v>7</v>
      </c>
    </row>
    <row r="98" spans="1:15" x14ac:dyDescent="0.25">
      <c r="A98" t="s">
        <v>198</v>
      </c>
      <c r="B98" t="s">
        <v>199</v>
      </c>
      <c r="C98" t="s">
        <v>9</v>
      </c>
      <c r="D98">
        <v>89</v>
      </c>
      <c r="E98">
        <v>86</v>
      </c>
      <c r="F98">
        <v>92</v>
      </c>
      <c r="G98">
        <v>267</v>
      </c>
      <c r="H98" s="3">
        <f t="shared" si="8"/>
        <v>89</v>
      </c>
      <c r="I98" s="3">
        <f t="shared" si="9"/>
        <v>89</v>
      </c>
      <c r="J98" t="str">
        <f t="shared" si="10"/>
        <v>pass</v>
      </c>
      <c r="K98">
        <f t="shared" si="11"/>
        <v>30</v>
      </c>
      <c r="L98" t="str">
        <f t="shared" si="12"/>
        <v>Very Good</v>
      </c>
      <c r="M98" t="str">
        <f t="shared" si="13"/>
        <v>English</v>
      </c>
      <c r="N98" t="str">
        <f t="shared" si="14"/>
        <v>Science</v>
      </c>
      <c r="O98" s="4">
        <f t="shared" si="15"/>
        <v>6</v>
      </c>
    </row>
    <row r="99" spans="1:15" x14ac:dyDescent="0.25">
      <c r="A99" t="s">
        <v>200</v>
      </c>
      <c r="B99" t="s">
        <v>201</v>
      </c>
      <c r="C99" t="s">
        <v>9</v>
      </c>
      <c r="D99">
        <v>71</v>
      </c>
      <c r="E99">
        <v>75</v>
      </c>
      <c r="F99">
        <v>69</v>
      </c>
      <c r="G99">
        <v>215</v>
      </c>
      <c r="H99" s="3">
        <f t="shared" si="8"/>
        <v>71.666666666666671</v>
      </c>
      <c r="I99" s="3">
        <f t="shared" si="9"/>
        <v>71.666666666666671</v>
      </c>
      <c r="J99" t="str">
        <f t="shared" si="10"/>
        <v>pass</v>
      </c>
      <c r="K99">
        <f t="shared" si="11"/>
        <v>85</v>
      </c>
      <c r="L99" t="str">
        <f t="shared" si="12"/>
        <v>Good</v>
      </c>
      <c r="M99" t="str">
        <f t="shared" si="13"/>
        <v>Science</v>
      </c>
      <c r="N99" t="str">
        <f t="shared" si="14"/>
        <v>English</v>
      </c>
      <c r="O99" s="4">
        <f t="shared" si="15"/>
        <v>6</v>
      </c>
    </row>
    <row r="100" spans="1:15" x14ac:dyDescent="0.25">
      <c r="A100" t="s">
        <v>202</v>
      </c>
      <c r="B100" t="s">
        <v>203</v>
      </c>
      <c r="C100" t="s">
        <v>9</v>
      </c>
      <c r="D100">
        <v>96</v>
      </c>
      <c r="E100">
        <v>90</v>
      </c>
      <c r="F100">
        <v>94</v>
      </c>
      <c r="G100">
        <v>280</v>
      </c>
      <c r="H100" s="3">
        <f t="shared" si="8"/>
        <v>93.333333333333329</v>
      </c>
      <c r="I100" s="3">
        <f t="shared" si="9"/>
        <v>93.333333333333329</v>
      </c>
      <c r="J100" t="str">
        <f t="shared" si="10"/>
        <v>pass</v>
      </c>
      <c r="K100">
        <f t="shared" si="11"/>
        <v>4</v>
      </c>
      <c r="L100" t="str">
        <f t="shared" si="12"/>
        <v>Very Good</v>
      </c>
      <c r="M100" t="str">
        <f t="shared" si="13"/>
        <v>Math</v>
      </c>
      <c r="N100" t="str">
        <f t="shared" si="14"/>
        <v>Science</v>
      </c>
      <c r="O100" s="4">
        <f t="shared" si="15"/>
        <v>6</v>
      </c>
    </row>
    <row r="101" spans="1:15" x14ac:dyDescent="0.25">
      <c r="A101" t="s">
        <v>204</v>
      </c>
      <c r="B101" t="s">
        <v>205</v>
      </c>
      <c r="C101" t="s">
        <v>9</v>
      </c>
      <c r="D101">
        <v>83</v>
      </c>
      <c r="E101">
        <v>79</v>
      </c>
      <c r="F101">
        <v>87</v>
      </c>
      <c r="G101">
        <v>249</v>
      </c>
      <c r="H101" s="3">
        <f t="shared" si="8"/>
        <v>83</v>
      </c>
      <c r="I101" s="3">
        <f t="shared" si="9"/>
        <v>83</v>
      </c>
      <c r="J101" t="str">
        <f t="shared" si="10"/>
        <v>pass</v>
      </c>
      <c r="K101">
        <f t="shared" si="11"/>
        <v>51</v>
      </c>
      <c r="L101" t="str">
        <f t="shared" si="12"/>
        <v>Very Good</v>
      </c>
      <c r="M101" t="str">
        <f t="shared" si="13"/>
        <v>English</v>
      </c>
      <c r="N101" t="str">
        <f t="shared" si="14"/>
        <v>Science</v>
      </c>
      <c r="O101" s="4">
        <f t="shared" si="15"/>
        <v>8</v>
      </c>
    </row>
    <row r="102" spans="1:15" x14ac:dyDescent="0.25">
      <c r="A102" t="s">
        <v>206</v>
      </c>
      <c r="B102" t="s">
        <v>207</v>
      </c>
      <c r="C102" t="s">
        <v>9</v>
      </c>
      <c r="D102">
        <v>91</v>
      </c>
      <c r="E102">
        <v>88</v>
      </c>
      <c r="F102">
        <v>93</v>
      </c>
      <c r="G102">
        <v>272</v>
      </c>
      <c r="H102" s="3">
        <f t="shared" si="8"/>
        <v>90.666666666666657</v>
      </c>
      <c r="I102" s="3">
        <f t="shared" si="9"/>
        <v>90.666666666666671</v>
      </c>
      <c r="J102" t="str">
        <f t="shared" si="10"/>
        <v>pass</v>
      </c>
      <c r="K102">
        <f t="shared" si="11"/>
        <v>18</v>
      </c>
      <c r="L102" t="str">
        <f t="shared" si="12"/>
        <v>Very Good</v>
      </c>
      <c r="M102" t="str">
        <f t="shared" si="13"/>
        <v>English</v>
      </c>
      <c r="N102" t="str">
        <f t="shared" si="14"/>
        <v>Science</v>
      </c>
      <c r="O102" s="4">
        <f t="shared" si="15"/>
        <v>5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Student1</cp:lastModifiedBy>
  <dcterms:created xsi:type="dcterms:W3CDTF">2026-09-11T04:40:08Z</dcterms:created>
  <dcterms:modified xsi:type="dcterms:W3CDTF">2026-09-15T07:34:40Z</dcterms:modified>
</cp:coreProperties>
</file>